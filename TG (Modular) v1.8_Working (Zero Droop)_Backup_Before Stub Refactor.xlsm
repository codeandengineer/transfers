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D:\02. Due\00. Projects\00. VSquareCE\01. Templates\02. Thickener Generator\"/>
    </mc:Choice>
  </mc:AlternateContent>
  <bookViews>
    <workbookView xWindow="0" yWindow="0" windowWidth="21570" windowHeight="9615" firstSheet="2" activeTab="2"/>
  </bookViews>
  <sheets>
    <sheet name="Version History" sheetId="5" r:id="rId1"/>
    <sheet name="Droop Calcs" sheetId="2" state="veryHidden" r:id="rId2"/>
    <sheet name="Geometry Input" sheetId="4" r:id="rId3"/>
  </sheets>
  <functionGroups builtInGroupCount="18"/>
  <externalReferences>
    <externalReference r:id="rId4"/>
  </externalReferences>
  <definedNames>
    <definedName name="Ag">[1]Calcs!$I$9</definedName>
    <definedName name="Alpha">'Geometry Input'!$X$11</definedName>
    <definedName name="AspectRatio">'Geometry Input'!$X$43</definedName>
    <definedName name="bBridge">'Geometry Input'!$BP$52</definedName>
    <definedName name="bCR">'Geometry Input'!$X$28</definedName>
    <definedName name="Beta">'Geometry Input'!$X$12</definedName>
    <definedName name="bExtension">'Geometry Input'!$BP$54</definedName>
    <definedName name="bExtFraCols">'Geometry Input'!$BP$60</definedName>
    <definedName name="bf">[1]Calcs!$I$11</definedName>
    <definedName name="bLaun">'Geometry Input'!$X$39</definedName>
    <definedName name="bridgeAngle">'Geometry Input'!$BP$51</definedName>
    <definedName name="BridgeType">'Geometry Input'!$BP$62</definedName>
    <definedName name="ColumnData">'Geometry Input'!$D$49:$AL$59</definedName>
    <definedName name="ColumnMethod">'Geometry Input'!$G$46</definedName>
    <definedName name="ColumnsSection">'Geometry Input'!$AB$84</definedName>
    <definedName name="CrossBraceSection">'Geometry Input'!$AB$85</definedName>
    <definedName name="dCC">'Geometry Input'!$X$17</definedName>
    <definedName name="dCR">'Geometry Input'!$X$27</definedName>
    <definedName name="DesignMethod">[1]Calcs!$X$90</definedName>
    <definedName name="DocApprover" localSheetId="0">[1]Summary!$AO$3</definedName>
    <definedName name="DocApprover">'Geometry Input'!$AC$3</definedName>
    <definedName name="DocChecker" localSheetId="0">[1]Summary!$AO$2</definedName>
    <definedName name="DocChecker">'Geometry Input'!$AC$2</definedName>
    <definedName name="DocClient" localSheetId="0">[1]Summary!$G$4</definedName>
    <definedName name="DocClient">'Geometry Input'!$G$4</definedName>
    <definedName name="DocCurrentDate" localSheetId="0">[1]Summary!$AV$4</definedName>
    <definedName name="DocCurrentDate">'Geometry Input'!$AJ$4</definedName>
    <definedName name="DocCurrentIssue" localSheetId="0">[1]Summary!$AV$3</definedName>
    <definedName name="DocCurrentIssue">'Geometry Input'!$AJ$3</definedName>
    <definedName name="DocInitialDate" localSheetId="0">[1]Summary!$AR$4</definedName>
    <definedName name="DocInitialDate">'Geometry Input'!$AF$4</definedName>
    <definedName name="DocInitialIssue" localSheetId="0">[1]Summary!$AR$3</definedName>
    <definedName name="DocInitialIssue">'Geometry Input'!$AF$3</definedName>
    <definedName name="DocNumber" localSheetId="0">[1]Summary!$G$1</definedName>
    <definedName name="DocNumber">'Geometry Input'!$G$1</definedName>
    <definedName name="DocOriginator" localSheetId="0">[1]Summary!$AO$1</definedName>
    <definedName name="DocOriginator">'Geometry Input'!$AC$1</definedName>
    <definedName name="DocProject" localSheetId="0">[1]Summary!$G$3</definedName>
    <definedName name="DocProject">'Geometry Input'!$G$3</definedName>
    <definedName name="DocTitle">'Geometry Input'!$G$2</definedName>
    <definedName name="DocVersion" localSheetId="0">[1]Summary!$AK$4</definedName>
    <definedName name="DocVersion">'Geometry Input'!$Y$4</definedName>
    <definedName name="DroopDepth">'Droop Calcs'!$K$12</definedName>
    <definedName name="DroopRadius">'Droop Calcs'!$V$26</definedName>
    <definedName name="dTank">'Geometry Input'!$X$36</definedName>
    <definedName name="dUF">'Geometry Input'!$X$25</definedName>
    <definedName name="E">[1]Calcs!$AB$26</definedName>
    <definedName name="FreeBoard">'Geometry Input'!$X$38</definedName>
    <definedName name="Fu">[1]Calcs!$W$26</definedName>
    <definedName name="Fy">[1]Calcs!$S$26</definedName>
    <definedName name="h">[1]Calcs!$I$10</definedName>
    <definedName name="HalfChordLength">'Geometry Input'!$X$32</definedName>
    <definedName name="hBridge">'Geometry Input'!$BP$53</definedName>
    <definedName name="hCC">'Geometry Input'!$X$18</definedName>
    <definedName name="hCCTop">'Geometry Input'!$X$19</definedName>
    <definedName name="hCR">'Geometry Input'!$X$29</definedName>
    <definedName name="hDroop">'Geometry Input'!$X$30</definedName>
    <definedName name="hExtension">'Geometry Input'!$BP$55</definedName>
    <definedName name="hLaun">'Geometry Input'!$X$40</definedName>
    <definedName name="hStubAbove">'Geometry Input'!$BP$59</definedName>
    <definedName name="hStubBelow">'Geometry Input'!$BP$58</definedName>
    <definedName name="hUF">'Geometry Input'!$X$26</definedName>
    <definedName name="hWall">'Geometry Input'!$X$37</definedName>
    <definedName name="idBP">'Geometry Input'!$X$20</definedName>
    <definedName name="idCP">'Geometry Input'!$X$23</definedName>
    <definedName name="k">[1]Calcs!$I$14</definedName>
    <definedName name="lenExtensionFar">'Geometry Input'!$BP$57</definedName>
    <definedName name="lenExtensionNear">'Geometry Input'!$BP$56</definedName>
    <definedName name="MaxPlateDim">'Geometry Input'!$X$44</definedName>
    <definedName name="nBoltsCC">'Geometry Input'!$X$34</definedName>
    <definedName name="nColRB">'Geometry Input'!$X$16</definedName>
    <definedName name="nRB">'Geometry Input'!$X$15</definedName>
    <definedName name="odBP">'Geometry Input'!$X$21</definedName>
    <definedName name="odCP">'Geometry Input'!$X$24</definedName>
    <definedName name="Omega">'Geometry Input'!$X$41</definedName>
    <definedName name="pcdBolts">'Geometry Input'!$X$22</definedName>
    <definedName name="PlateThick">'Geometry Input'!$AB$82</definedName>
    <definedName name="_xlnm.Print_Area" localSheetId="1">'Droop Calcs'!$A$1:$AG$43</definedName>
    <definedName name="_xlnm.Print_Area" localSheetId="2">'Geometry Input'!$A$1:$AM$118</definedName>
    <definedName name="_xlnm.Print_Area" localSheetId="0">'Version History'!$A$1:$AL$59</definedName>
    <definedName name="_xlnm.Print_Titles" localSheetId="1">'Droop Calcs'!$1:$4</definedName>
    <definedName name="_xlnm.Print_Titles" localSheetId="2">'Geometry Input'!$1:$4</definedName>
    <definedName name="Qfb">[1]Calcs!$V$160</definedName>
    <definedName name="Qtftb">[1]Calcs!$V$174</definedName>
    <definedName name="RadBeamSection">'Geometry Input'!$AB$83</definedName>
    <definedName name="RadBraceSection">'Geometry Input'!$AB$86</definedName>
    <definedName name="rDroop">'Geometry Input'!$X$31</definedName>
    <definedName name="sDelta">'Geometry Input'!$X$13</definedName>
    <definedName name="SectionDatabase">[1]Calcs!$M$6</definedName>
    <definedName name="SectionProfile">[1]Calcs!$W$6</definedName>
    <definedName name="SectionType">[1]Calcs!$R$6</definedName>
    <definedName name="TemplateDocApprover">'Version History'!$AB$3</definedName>
    <definedName name="TemplateDocChecker">'Version History'!$AB$2</definedName>
    <definedName name="TemplateDocClient">'Version History'!$G$4</definedName>
    <definedName name="TemplateDocCurrentDate">'Version History'!$AI$4</definedName>
    <definedName name="TemplateDocCurrentRevision">'Version History'!$AI$3</definedName>
    <definedName name="TemplateDocInitialDate">'Version History'!$AE$4</definedName>
    <definedName name="TemplateDocInitialRevision">'Version History'!$AE$3</definedName>
    <definedName name="TemplateDocNumber">'Version History'!$G$1</definedName>
    <definedName name="TemplateDocOriginator">'Version History'!$AB$1</definedName>
    <definedName name="TemplateDocProject">'Version History'!$G$3</definedName>
    <definedName name="TemplateDocTitle">'Version History'!$G$2</definedName>
    <definedName name="TemplateDocVersion" localSheetId="0">'Version History'!$X$4</definedName>
    <definedName name="tf">[1]Calcs!$I$12</definedName>
    <definedName name="Theta">'Geometry Input'!$X$33</definedName>
    <definedName name="tw">[1]Calcs!$I$13</definedName>
    <definedName name="xOrigin">'Geometry Input'!$D$8</definedName>
    <definedName name="yOrigin">'Geometry Input'!$K$8</definedName>
    <definedName name="zOrigin">'Geometry Input'!$R$8</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4" i="4" l="1"/>
  <c r="B55" i="4"/>
  <c r="B56" i="4"/>
  <c r="B57" i="4"/>
  <c r="B58" i="4"/>
  <c r="B49" i="4"/>
  <c r="B50" i="4" s="1"/>
  <c r="B51" i="4" s="1"/>
  <c r="B52" i="4" s="1"/>
  <c r="B53" i="4" s="1"/>
  <c r="B59" i="4"/>
  <c r="B92" i="4" l="1"/>
  <c r="B91" i="4"/>
  <c r="B88" i="4"/>
  <c r="B89" i="4" s="1"/>
  <c r="B90" i="4" s="1"/>
  <c r="B87" i="4"/>
  <c r="B82" i="4"/>
  <c r="B83" i="4" s="1"/>
  <c r="B84" i="4" s="1"/>
  <c r="B85" i="4" s="1"/>
  <c r="B86" i="4" s="1"/>
  <c r="B76" i="4"/>
  <c r="B75" i="4"/>
  <c r="B74" i="4"/>
  <c r="B73" i="4"/>
  <c r="B72" i="4"/>
  <c r="B71" i="4"/>
  <c r="B66" i="4"/>
  <c r="B67" i="4" s="1"/>
  <c r="B68" i="4" s="1"/>
  <c r="B69" i="4" s="1"/>
  <c r="B70" i="4" s="1"/>
  <c r="BD49" i="4" l="1"/>
  <c r="R38" i="2" l="1"/>
  <c r="Y4" i="4" l="1"/>
  <c r="AI4" i="5"/>
  <c r="X41" i="4" l="1"/>
  <c r="X26" i="4"/>
  <c r="X28" i="4"/>
  <c r="K12" i="2"/>
  <c r="Z8" i="2"/>
  <c r="K8" i="2"/>
  <c r="AJ4" i="4" l="1"/>
  <c r="R40" i="2" l="1"/>
  <c r="K10" i="2"/>
  <c r="V26" i="2" s="1"/>
  <c r="X31" i="4" s="1"/>
  <c r="AD4" i="2"/>
  <c r="X32" i="4" l="1"/>
  <c r="V27" i="2" l="1"/>
  <c r="X33" i="4" s="1"/>
  <c r="R32" i="2"/>
  <c r="V28" i="2"/>
  <c r="V35" i="2" l="1"/>
</calcChain>
</file>

<file path=xl/comments1.xml><?xml version="1.0" encoding="utf-8"?>
<comments xmlns="http://schemas.openxmlformats.org/spreadsheetml/2006/main">
  <authors>
    <author>MASANAM Srinivasarao TENOVA Delkor</author>
    <author>Engineered Programming</author>
  </authors>
  <commentList>
    <comment ref="X11" authorId="0" shapeId="0">
      <text>
        <r>
          <rPr>
            <b/>
            <sz val="8"/>
            <color indexed="81"/>
            <rFont val="Tahoma"/>
            <family val="2"/>
          </rPr>
          <t>Elevated Terrains:</t>
        </r>
        <r>
          <rPr>
            <sz val="8"/>
            <color indexed="81"/>
            <rFont val="Tahoma"/>
            <family val="2"/>
          </rPr>
          <t xml:space="preserve">
Measured with respect to horizontal (strictly in degrees)</t>
        </r>
      </text>
    </comment>
    <comment ref="X12" authorId="0" shapeId="0">
      <text>
        <r>
          <rPr>
            <b/>
            <sz val="8"/>
            <color indexed="81"/>
            <rFont val="Tahoma"/>
            <family val="2"/>
          </rPr>
          <t xml:space="preserve">Elevated Terrains:
</t>
        </r>
        <r>
          <rPr>
            <sz val="8"/>
            <color indexed="81"/>
            <rFont val="Tahoma"/>
            <family val="2"/>
          </rPr>
          <t>Measured with respect to horizontal (strictly in degrees)</t>
        </r>
      </text>
    </comment>
    <comment ref="X13" authorId="1" shapeId="0">
      <text>
        <r>
          <rPr>
            <b/>
            <sz val="8"/>
            <color indexed="81"/>
            <rFont val="Tahoma"/>
            <family val="2"/>
          </rPr>
          <t xml:space="preserve">Elevated Terrains:
</t>
        </r>
        <r>
          <rPr>
            <sz val="8"/>
            <color indexed="81"/>
            <rFont val="Tahoma"/>
            <family val="2"/>
          </rPr>
          <t>Measured in Plan.</t>
        </r>
        <r>
          <rPr>
            <b/>
            <sz val="8"/>
            <color indexed="81"/>
            <rFont val="Tahoma"/>
            <family val="2"/>
          </rPr>
          <t xml:space="preserve">
</t>
        </r>
        <r>
          <rPr>
            <sz val="8"/>
            <color indexed="81"/>
            <rFont val="Tahoma"/>
            <family val="2"/>
          </rPr>
          <t>(strictly in degrees)</t>
        </r>
      </text>
    </comment>
    <comment ref="X31" authorId="0" shapeId="0">
      <text>
        <r>
          <rPr>
            <b/>
            <sz val="8"/>
            <color indexed="81"/>
            <rFont val="Tahoma"/>
            <family val="2"/>
          </rPr>
          <t>Elevated Terrains:</t>
        </r>
        <r>
          <rPr>
            <sz val="8"/>
            <color indexed="81"/>
            <rFont val="Tahoma"/>
            <family val="2"/>
          </rPr>
          <t xml:space="preserve">
Suggested Radius of the droop is 13m. Adjust the design droop depth to get a calculated droop radius close to 13m if required.</t>
        </r>
      </text>
    </comment>
    <comment ref="X34" authorId="0" shapeId="0">
      <text>
        <r>
          <rPr>
            <b/>
            <sz val="8"/>
            <color indexed="81"/>
            <rFont val="Tahoma"/>
            <family val="2"/>
          </rPr>
          <t>Elevated Terrains:</t>
        </r>
        <r>
          <rPr>
            <sz val="8"/>
            <color indexed="81"/>
            <rFont val="Tahoma"/>
            <family val="2"/>
          </rPr>
          <t xml:space="preserve">
Validity of the number of supports will be verified only during runtime. If the number of supports are NOT valid then, the supports generation for centre column base plate will be skipped. User need to ensure the input is correct.</t>
        </r>
      </text>
    </comment>
    <comment ref="X43" authorId="0" shapeId="0">
      <text>
        <r>
          <rPr>
            <b/>
            <sz val="8"/>
            <color indexed="81"/>
            <rFont val="Tahoma"/>
            <family val="2"/>
          </rPr>
          <t>Elevated Terrains:</t>
        </r>
        <r>
          <rPr>
            <sz val="8"/>
            <color indexed="81"/>
            <rFont val="Tahoma"/>
            <family val="2"/>
          </rPr>
          <t xml:space="preserve">
Suggested range for the limiting aspect ratio of the Plate Elements is between 2 and 3.</t>
        </r>
      </text>
    </comment>
    <comment ref="X44" authorId="0" shapeId="0">
      <text>
        <r>
          <rPr>
            <b/>
            <sz val="8"/>
            <color indexed="81"/>
            <rFont val="Tahoma"/>
            <family val="2"/>
          </rPr>
          <t>Elevated Terrains:</t>
        </r>
        <r>
          <rPr>
            <sz val="8"/>
            <color indexed="81"/>
            <rFont val="Tahoma"/>
            <family val="2"/>
          </rPr>
          <t xml:space="preserve">
Suggested limiting dimension of the Plate Elements is 0.50m.</t>
        </r>
      </text>
    </comment>
    <comment ref="D48" authorId="1" shapeId="0">
      <text>
        <r>
          <rPr>
            <b/>
            <sz val="8"/>
            <color indexed="81"/>
            <rFont val="Tahoma"/>
            <family val="2"/>
          </rPr>
          <t>Elevated Terrains:</t>
        </r>
        <r>
          <rPr>
            <sz val="8"/>
            <color indexed="81"/>
            <rFont val="Tahoma"/>
            <family val="2"/>
          </rPr>
          <t xml:space="preserve">
Description is used for creating the Groups in STAAD.Pro. Hence, do NOT use more than 5 letters.</t>
        </r>
      </text>
    </comment>
    <comment ref="BP51" authorId="0" shapeId="0">
      <text>
        <r>
          <rPr>
            <b/>
            <sz val="8"/>
            <color indexed="81"/>
            <rFont val="Tahoma"/>
            <family val="2"/>
          </rPr>
          <t>Elevated Terrains:</t>
        </r>
        <r>
          <rPr>
            <sz val="8"/>
            <color indexed="81"/>
            <rFont val="Tahoma"/>
            <family val="2"/>
          </rPr>
          <t xml:space="preserve">
Measured with respect to horizontal (strictly in degrees)</t>
        </r>
      </text>
    </comment>
  </commentList>
</comments>
</file>

<file path=xl/sharedStrings.xml><?xml version="1.0" encoding="utf-8"?>
<sst xmlns="http://schemas.openxmlformats.org/spreadsheetml/2006/main" count="421" uniqueCount="230">
  <si>
    <t>Document No.</t>
  </si>
  <si>
    <t>:</t>
  </si>
  <si>
    <t>NNNNCV16001</t>
  </si>
  <si>
    <t>Originator</t>
  </si>
  <si>
    <t>Srinivas</t>
  </si>
  <si>
    <t>Life Cycle Status</t>
  </si>
  <si>
    <t>Title</t>
  </si>
  <si>
    <t>Droop Radius Calculation</t>
  </si>
  <si>
    <t>Checker</t>
  </si>
  <si>
    <t>Carsten</t>
  </si>
  <si>
    <t>Initial Issue</t>
  </si>
  <si>
    <t>Current Issue</t>
  </si>
  <si>
    <t>Project</t>
  </si>
  <si>
    <t>Mt Marion 16m Thickener</t>
  </si>
  <si>
    <t>Approver</t>
  </si>
  <si>
    <t>NRM</t>
  </si>
  <si>
    <t>A</t>
  </si>
  <si>
    <t>Client</t>
  </si>
  <si>
    <t>-</t>
  </si>
  <si>
    <t>Droop Calculations</t>
  </si>
  <si>
    <t>Calculation of Droop Radius and Other Geometrical Parameters</t>
  </si>
  <si>
    <t>Diameter of the Thickener</t>
  </si>
  <si>
    <t>;</t>
  </si>
  <si>
    <t>Total No. of Radial Beams</t>
  </si>
  <si>
    <t>Half distance between the outermost nodes of radial beams</t>
  </si>
  <si>
    <t>x</t>
  </si>
  <si>
    <t>=</t>
  </si>
  <si>
    <t>Required plate drooping</t>
  </si>
  <si>
    <t>d</t>
  </si>
  <si>
    <t>Equation for Solving Radius</t>
  </si>
  <si>
    <r>
      <t xml:space="preserve">√ </t>
    </r>
    <r>
      <rPr>
        <i/>
        <sz val="11"/>
        <color theme="1"/>
        <rFont val="Aparajita"/>
        <family val="2"/>
      </rPr>
      <t>( R</t>
    </r>
    <r>
      <rPr>
        <i/>
        <vertAlign val="superscript"/>
        <sz val="11"/>
        <color theme="1"/>
        <rFont val="Aparajita"/>
        <family val="2"/>
      </rPr>
      <t>2</t>
    </r>
    <r>
      <rPr>
        <i/>
        <sz val="11"/>
        <color theme="1"/>
        <rFont val="Aparajita"/>
        <family val="2"/>
      </rPr>
      <t xml:space="preserve"> - x</t>
    </r>
    <r>
      <rPr>
        <i/>
        <vertAlign val="superscript"/>
        <sz val="11"/>
        <color theme="1"/>
        <rFont val="Aparajita"/>
        <family val="2"/>
      </rPr>
      <t>2</t>
    </r>
    <r>
      <rPr>
        <i/>
        <sz val="11"/>
        <color theme="1"/>
        <rFont val="Aparajita"/>
        <family val="2"/>
      </rPr>
      <t xml:space="preserve"> )</t>
    </r>
  </si>
  <si>
    <t>R - d</t>
  </si>
  <si>
    <t>»</t>
  </si>
  <si>
    <r>
      <t>(R - d)</t>
    </r>
    <r>
      <rPr>
        <i/>
        <vertAlign val="superscript"/>
        <sz val="11"/>
        <color theme="1"/>
        <rFont val="Aparajita"/>
        <family val="2"/>
      </rPr>
      <t>2</t>
    </r>
  </si>
  <si>
    <r>
      <t>R</t>
    </r>
    <r>
      <rPr>
        <i/>
        <vertAlign val="superscript"/>
        <sz val="11"/>
        <color theme="1"/>
        <rFont val="Aparajita"/>
        <family val="2"/>
      </rPr>
      <t>2</t>
    </r>
    <r>
      <rPr>
        <i/>
        <sz val="11"/>
        <color theme="1"/>
        <rFont val="Aparajita"/>
        <family val="2"/>
      </rPr>
      <t xml:space="preserve"> - x</t>
    </r>
    <r>
      <rPr>
        <i/>
        <vertAlign val="superscript"/>
        <sz val="11"/>
        <color theme="1"/>
        <rFont val="Aparajita"/>
        <family val="2"/>
      </rPr>
      <t>2</t>
    </r>
  </si>
  <si>
    <r>
      <t>R</t>
    </r>
    <r>
      <rPr>
        <i/>
        <vertAlign val="superscript"/>
        <sz val="11"/>
        <color theme="1"/>
        <rFont val="Aparajita"/>
        <family val="2"/>
      </rPr>
      <t>2</t>
    </r>
    <r>
      <rPr>
        <i/>
        <sz val="11"/>
        <color theme="1"/>
        <rFont val="Aparajita"/>
        <family val="2"/>
      </rPr>
      <t xml:space="preserve"> + d</t>
    </r>
    <r>
      <rPr>
        <i/>
        <vertAlign val="superscript"/>
        <sz val="11"/>
        <color theme="1"/>
        <rFont val="Aparajita"/>
        <family val="2"/>
      </rPr>
      <t>2</t>
    </r>
    <r>
      <rPr>
        <i/>
        <sz val="11"/>
        <color theme="1"/>
        <rFont val="Aparajita"/>
        <family val="2"/>
      </rPr>
      <t xml:space="preserve"> + 2Rd</t>
    </r>
  </si>
  <si>
    <t>2Rd</t>
  </si>
  <si>
    <r>
      <t>d</t>
    </r>
    <r>
      <rPr>
        <i/>
        <vertAlign val="superscript"/>
        <sz val="11"/>
        <color theme="1"/>
        <rFont val="Aparajita"/>
        <family val="2"/>
      </rPr>
      <t>2</t>
    </r>
    <r>
      <rPr>
        <i/>
        <sz val="11"/>
        <color theme="1"/>
        <rFont val="Aparajita"/>
        <family val="2"/>
      </rPr>
      <t xml:space="preserve"> + x</t>
    </r>
    <r>
      <rPr>
        <i/>
        <vertAlign val="superscript"/>
        <sz val="11"/>
        <color theme="1"/>
        <rFont val="Aparajita"/>
        <family val="2"/>
      </rPr>
      <t>2</t>
    </r>
  </si>
  <si>
    <t>Reference Sketch</t>
  </si>
  <si>
    <t>R</t>
  </si>
  <si>
    <t>2d</t>
  </si>
  <si>
    <t>Half angle of the droop triangle</t>
  </si>
  <si>
    <t>(θ)</t>
  </si>
  <si>
    <r>
      <t>sin</t>
    </r>
    <r>
      <rPr>
        <i/>
        <vertAlign val="superscript"/>
        <sz val="11"/>
        <color theme="1"/>
        <rFont val="Aparajita"/>
        <family val="2"/>
      </rPr>
      <t>-1</t>
    </r>
    <r>
      <rPr>
        <i/>
        <sz val="11"/>
        <color theme="1"/>
        <rFont val="Aparajita"/>
        <family val="2"/>
      </rPr>
      <t>(x/R)</t>
    </r>
  </si>
  <si>
    <t>[in degrees]</t>
  </si>
  <si>
    <t>Therefore,</t>
  </si>
  <si>
    <t>Radius of segment for the required drooping</t>
  </si>
  <si>
    <t>(R)</t>
  </si>
  <si>
    <t>Total included angle of the segment for required drooping</t>
  </si>
  <si>
    <r>
      <t>(2</t>
    </r>
    <r>
      <rPr>
        <i/>
        <sz val="8"/>
        <color theme="1"/>
        <rFont val="Aparajita"/>
        <family val="2"/>
      </rPr>
      <t>θ</t>
    </r>
    <r>
      <rPr>
        <i/>
        <sz val="11"/>
        <color theme="1"/>
        <rFont val="Aparajita"/>
        <family val="2"/>
      </rPr>
      <t>)</t>
    </r>
  </si>
  <si>
    <t>Vertical distance</t>
  </si>
  <si>
    <t>(R-d)</t>
  </si>
  <si>
    <t>Correction due to the Last Node Mismatch</t>
  </si>
  <si>
    <t>Difference in distance (Obtained from STAAD)</t>
  </si>
  <si>
    <r>
      <t>(R</t>
    </r>
    <r>
      <rPr>
        <i/>
        <sz val="10"/>
        <color theme="1"/>
        <rFont val="Calibri Light"/>
        <family val="1"/>
        <scheme val="major"/>
      </rPr>
      <t>α)</t>
    </r>
  </si>
  <si>
    <t>Reduction in Total included angle</t>
  </si>
  <si>
    <t>(α)</t>
  </si>
  <si>
    <t>Net, Total included angle of the segment for required drooping</t>
  </si>
  <si>
    <r>
      <t>(2</t>
    </r>
    <r>
      <rPr>
        <i/>
        <sz val="8"/>
        <color theme="1"/>
        <rFont val="Aparajita"/>
        <family val="2"/>
      </rPr>
      <t>θ - α</t>
    </r>
    <r>
      <rPr>
        <i/>
        <sz val="11"/>
        <color theme="1"/>
        <rFont val="Aparajita"/>
        <family val="2"/>
      </rPr>
      <t>)</t>
    </r>
  </si>
  <si>
    <t>Overall depth of the section</t>
  </si>
  <si>
    <r>
      <t>(h</t>
    </r>
    <r>
      <rPr>
        <i/>
        <sz val="10"/>
        <color theme="1"/>
        <rFont val="Calibri Light"/>
        <family val="1"/>
        <scheme val="major"/>
      </rPr>
      <t>)</t>
    </r>
  </si>
  <si>
    <t>Floor plate slope in degrees</t>
  </si>
  <si>
    <r>
      <t>(</t>
    </r>
    <r>
      <rPr>
        <i/>
        <sz val="10"/>
        <color theme="1"/>
        <rFont val="Cambria"/>
        <family val="1"/>
      </rPr>
      <t>β</t>
    </r>
    <r>
      <rPr>
        <i/>
        <sz val="10"/>
        <color theme="1"/>
        <rFont val="Calibri Light"/>
        <family val="1"/>
        <scheme val="major"/>
      </rPr>
      <t>)</t>
    </r>
  </si>
  <si>
    <t>Vertical height/Offset distance at column</t>
  </si>
  <si>
    <r>
      <t>(h'</t>
    </r>
    <r>
      <rPr>
        <i/>
        <sz val="10"/>
        <color theme="1"/>
        <rFont val="Calibri Light"/>
        <family val="1"/>
        <scheme val="major"/>
      </rPr>
      <t>)</t>
    </r>
  </si>
  <si>
    <t>Pass : EngPro</t>
  </si>
  <si>
    <t>a</t>
  </si>
  <si>
    <t>b</t>
  </si>
  <si>
    <t>c</t>
  </si>
  <si>
    <t>f</t>
  </si>
  <si>
    <t>g</t>
  </si>
  <si>
    <t>h</t>
  </si>
  <si>
    <t>i</t>
  </si>
  <si>
    <t>j</t>
  </si>
  <si>
    <t>k</t>
  </si>
  <si>
    <t>l</t>
  </si>
  <si>
    <t>m</t>
  </si>
  <si>
    <t>n</t>
  </si>
  <si>
    <t>o</t>
  </si>
  <si>
    <t>p</t>
  </si>
  <si>
    <t>q</t>
  </si>
  <si>
    <t>r</t>
  </si>
  <si>
    <t>s</t>
  </si>
  <si>
    <t>t</t>
  </si>
  <si>
    <t>u</t>
  </si>
  <si>
    <t>v</t>
  </si>
  <si>
    <t>w</t>
  </si>
  <si>
    <t>y</t>
  </si>
  <si>
    <t>z</t>
  </si>
  <si>
    <t>D</t>
  </si>
  <si>
    <t>W</t>
  </si>
  <si>
    <t>STAAD Origin for Thickener Structure:</t>
  </si>
  <si>
    <t>Structure Geometry:</t>
  </si>
  <si>
    <t>Slope of the Floor/Radial Beam</t>
  </si>
  <si>
    <t>Slope of the Underflow Cone</t>
  </si>
  <si>
    <t>Angle of the First Radial Beam with STAAD Positive X-Axis</t>
  </si>
  <si>
    <t>Number of Radial Beams</t>
  </si>
  <si>
    <t>Number of Columns per Radial Beam</t>
  </si>
  <si>
    <t>Notes:</t>
  </si>
  <si>
    <t>1.</t>
  </si>
  <si>
    <t>Column heights can be varied by making reference to the bottom of column with respect to y-ordinate of Origin</t>
  </si>
  <si>
    <t>2.</t>
  </si>
  <si>
    <t>Centre column bottom shall always be same as y-ordinate of the Origin</t>
  </si>
  <si>
    <t>Diameter of the Underflow Cone</t>
  </si>
  <si>
    <t>Diameter of the Centre Column</t>
  </si>
  <si>
    <t>Inner Diameter of the Cap Plate</t>
  </si>
  <si>
    <t>Outer Diameter of the Cap Plate</t>
  </si>
  <si>
    <t>Outer Diameter of the Base Plate</t>
  </si>
  <si>
    <t>Inner Diameter of the Base Plate</t>
  </si>
  <si>
    <t>Design Droop depth</t>
  </si>
  <si>
    <t>Calculated Radius of the Droop</t>
  </si>
  <si>
    <t>Diameter of the Thickener Tank</t>
  </si>
  <si>
    <t>Calculated Height of the Underflow Cone</t>
  </si>
  <si>
    <t>Diameter of the Compression Ring</t>
  </si>
  <si>
    <t>Calculated Width of the Compression Ring</t>
  </si>
  <si>
    <t>Height of Compression Ring - Vertical Annulus</t>
  </si>
  <si>
    <t>Height of the Tank Wall (Including Free Board)</t>
  </si>
  <si>
    <t>Free Board</t>
  </si>
  <si>
    <t>Width of the Launder</t>
  </si>
  <si>
    <t>Height of the Launder</t>
  </si>
  <si>
    <t>Calculated Included Angle (Total) of the Droop</t>
  </si>
  <si>
    <t>Calculated Angle of Each Thickener Segment in Plan</t>
  </si>
  <si>
    <t>Optional Elements</t>
  </si>
  <si>
    <t>Calculated Half-Chord Length for Each Segment</t>
  </si>
  <si>
    <t>Limiting Aspect Ratio for Plate Modelling</t>
  </si>
  <si>
    <t>Maximum Dimension of the Plate Elements</t>
  </si>
  <si>
    <t>Column Positions:</t>
  </si>
  <si>
    <t>Sl. No.</t>
  </si>
  <si>
    <t>Description</t>
  </si>
  <si>
    <t>PCD (m)</t>
  </si>
  <si>
    <t>EL of Column Bottom (m)</t>
  </si>
  <si>
    <t>Cross Bracing</t>
  </si>
  <si>
    <t>Radial Bracing</t>
  </si>
  <si>
    <t>PCD1</t>
  </si>
  <si>
    <t>PCD2</t>
  </si>
  <si>
    <t>Elevated Terrains Consulting Engineers</t>
  </si>
  <si>
    <t>Thickener STAAD File Generation</t>
  </si>
  <si>
    <t>Height of the Centre Column (Below UF Interface)</t>
  </si>
  <si>
    <t>Height of the Centre Column (Above UF Interface)</t>
  </si>
  <si>
    <t>Known Issues:</t>
  </si>
  <si>
    <t>When the droop becomes equal to zero, the program cannot generate the structure.</t>
  </si>
  <si>
    <t>Use a droop value closest to zero. Issue will be addressed in the next version release.</t>
  </si>
  <si>
    <t>Version History of the Template</t>
  </si>
  <si>
    <t>Pass: EngPro</t>
  </si>
  <si>
    <t>Version History:</t>
  </si>
  <si>
    <t>Version</t>
  </si>
  <si>
    <t>Description of Change</t>
  </si>
  <si>
    <t>Issued Date</t>
  </si>
  <si>
    <t>Remarks</t>
  </si>
  <si>
    <t>First Release</t>
  </si>
  <si>
    <t>Issue Description</t>
  </si>
  <si>
    <t>Work Arounds</t>
  </si>
  <si>
    <t>At the interface of wall and floor plate (droop), for a higher droop value, interconnection cannot be formed.</t>
  </si>
  <si>
    <t>Generally, higher droops are NOT required. Hence, this may be rectified in future.</t>
  </si>
  <si>
    <t>At transitions, if number of divisions are less than number of transitions required, results will be unexpected.</t>
  </si>
  <si>
    <t>This is observed to be a very rare case. However, this issue will be addressed in the next release.</t>
  </si>
  <si>
    <t>Geometry generation with respect to custom origin location is improper.</t>
  </si>
  <si>
    <t>Currently, the origin node input cells are locked to restrict the user to use default origin i.e., (0,0,0)</t>
  </si>
  <si>
    <t>Some of the Floor and Wall plates reported to be warped plates.</t>
  </si>
  <si>
    <t>Start Position</t>
  </si>
  <si>
    <t>Pattern</t>
  </si>
  <si>
    <t>Alternate</t>
  </si>
  <si>
    <t>Skip 2 Bays</t>
  </si>
  <si>
    <t>Miscellaneous Calcs:</t>
  </si>
  <si>
    <t>Overall depth of the radial beam</t>
  </si>
  <si>
    <t>Offset for the radial beam</t>
  </si>
  <si>
    <t>VBA Code Modified</t>
  </si>
  <si>
    <t>VBA Code updated for floor plate modelling to incorporate symmetric plate configuration.</t>
  </si>
  <si>
    <t>Yes</t>
  </si>
  <si>
    <t>PCD3</t>
  </si>
  <si>
    <t>Transitions are Modified to Complete Triangular Pattern.</t>
  </si>
  <si>
    <t>Transitions are Modified.</t>
  </si>
  <si>
    <t>This issue is observed to be specific to a particular STAAD.Pro version. So no work around is needed and the model generated by the spreadsheet is fine.</t>
  </si>
  <si>
    <t>Check Boxes Linked</t>
  </si>
  <si>
    <t>Optional Components are Linked to Check Boxes.</t>
  </si>
  <si>
    <t>Transitions are Modified. Custom Support Conditions are Added.</t>
  </si>
  <si>
    <t>Reduced Transition is Implemented. User is Now has the Option to Choose the Support Condition.</t>
  </si>
  <si>
    <t>Plates</t>
  </si>
  <si>
    <t>Radial Beams</t>
  </si>
  <si>
    <t>Columns</t>
  </si>
  <si>
    <t>Cross Bracings</t>
  </si>
  <si>
    <t>Radial Bracings</t>
  </si>
  <si>
    <t>Database</t>
  </si>
  <si>
    <t>Shape</t>
  </si>
  <si>
    <t>Type</t>
  </si>
  <si>
    <t>Grade</t>
  </si>
  <si>
    <t>A36</t>
  </si>
  <si>
    <t>A572</t>
  </si>
  <si>
    <t>S275JR</t>
  </si>
  <si>
    <t>E355B</t>
  </si>
  <si>
    <t>Q345B</t>
  </si>
  <si>
    <t>Profile</t>
  </si>
  <si>
    <t>Plates Thickness</t>
  </si>
  <si>
    <t>I Sections</t>
  </si>
  <si>
    <t>Solid</t>
  </si>
  <si>
    <t>None</t>
  </si>
  <si>
    <t>ISMB300</t>
  </si>
  <si>
    <t>PIP26.3</t>
  </si>
  <si>
    <t>PIP36.5</t>
  </si>
  <si>
    <t>Indian</t>
  </si>
  <si>
    <t>IS2062</t>
  </si>
  <si>
    <r>
      <t>Material Properties:</t>
    </r>
    <r>
      <rPr>
        <u/>
        <sz val="8"/>
        <color theme="1"/>
        <rFont val="Tahoma"/>
        <family val="2"/>
      </rPr>
      <t xml:space="preserve"> [Yet to be Implemented]</t>
    </r>
  </si>
  <si>
    <r>
      <t>Section Profiles (Initialization):</t>
    </r>
    <r>
      <rPr>
        <u/>
        <sz val="8"/>
        <color theme="1"/>
        <rFont val="Tahoma"/>
        <family val="2"/>
      </rPr>
      <t xml:space="preserve"> [Yet to be Implemented]</t>
    </r>
  </si>
  <si>
    <t>Radial Bracings Incorporated.</t>
  </si>
  <si>
    <t>Now the Program Generates the Radial Bracings Also Automatically.</t>
  </si>
  <si>
    <t>Compression Ring Stiffeners Added. Bug in the Radial Bracing Generation is Fixed.</t>
  </si>
  <si>
    <t>Bug in the Calculation of Radial Bracings Intersection Point is Fixed.</t>
  </si>
  <si>
    <t>PCD of the Centre Column Bolts</t>
  </si>
  <si>
    <t>Number of Bolts at the Centre Column Base Plate</t>
  </si>
  <si>
    <r>
      <t>F</t>
    </r>
    <r>
      <rPr>
        <vertAlign val="subscript"/>
        <sz val="8"/>
        <color theme="1"/>
        <rFont val="Tahoma"/>
        <family val="2"/>
      </rPr>
      <t>y</t>
    </r>
    <r>
      <rPr>
        <sz val="8"/>
        <color theme="1"/>
        <rFont val="Tahoma"/>
        <family val="2"/>
      </rPr>
      <t xml:space="preserve"> (N/mm</t>
    </r>
    <r>
      <rPr>
        <vertAlign val="superscript"/>
        <sz val="8"/>
        <color theme="1"/>
        <rFont val="Tahoma"/>
        <family val="2"/>
      </rPr>
      <t>2</t>
    </r>
    <r>
      <rPr>
        <sz val="8"/>
        <color theme="1"/>
        <rFont val="Tahoma"/>
        <family val="2"/>
      </rPr>
      <t>)</t>
    </r>
  </si>
  <si>
    <r>
      <t>F</t>
    </r>
    <r>
      <rPr>
        <vertAlign val="subscript"/>
        <sz val="8"/>
        <color theme="1"/>
        <rFont val="Tahoma"/>
        <family val="2"/>
      </rPr>
      <t>u</t>
    </r>
    <r>
      <rPr>
        <sz val="8"/>
        <color theme="1"/>
        <rFont val="Tahoma"/>
        <family val="2"/>
      </rPr>
      <t xml:space="preserve"> (N/mm</t>
    </r>
    <r>
      <rPr>
        <vertAlign val="superscript"/>
        <sz val="8"/>
        <color theme="1"/>
        <rFont val="Tahoma"/>
        <family val="2"/>
      </rPr>
      <t>2</t>
    </r>
    <r>
      <rPr>
        <sz val="8"/>
        <color theme="1"/>
        <rFont val="Tahoma"/>
        <family val="2"/>
      </rPr>
      <t>)</t>
    </r>
  </si>
  <si>
    <t>No</t>
  </si>
  <si>
    <t>User Defined</t>
  </si>
  <si>
    <t>PCD4</t>
  </si>
  <si>
    <t>PCD5</t>
  </si>
  <si>
    <t>Currently 'Zero Droop' feature incorporated. Code Modularization is in progress.</t>
  </si>
  <si>
    <t>Code Modularization (In Progress)</t>
  </si>
  <si>
    <t>Thickener Generator v1.8</t>
  </si>
  <si>
    <t>Angle of the Bridge Axis with Positive X-Axis of STAAD.Pro</t>
  </si>
  <si>
    <t>Width of the Bridge</t>
  </si>
  <si>
    <t>Height of the Bridge</t>
  </si>
  <si>
    <t>Width of the Bridge Extension</t>
  </si>
  <si>
    <t>Length of the Bridge Extension (towards near end)</t>
  </si>
  <si>
    <t>Length of the Bridge Extension (towards far end)</t>
  </si>
  <si>
    <t>Height of the Bridge Extension (applicable for half-span type bridge)</t>
  </si>
  <si>
    <t>Height of the Stub Connected to Tank Wall</t>
  </si>
  <si>
    <t>Height of the Stub from the Top of Tank Wall</t>
  </si>
  <si>
    <t>Type of the Bridge</t>
  </si>
  <si>
    <t>Full Span</t>
  </si>
  <si>
    <t>Distance between extension frame supporting columns (on centre column)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</si>
</sst>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3">
    <numFmt numFmtId="43" formatCode="_ * #,##0.00_ ;_ * \-#,##0.00_ ;_ * &quot;-&quot;??_ ;_ @_ "/>
    <numFmt numFmtId="164" formatCode="dd\-mmm\-yyyy"/>
    <numFmt numFmtId="165" formatCode="0&quot; m&quot;"/>
    <numFmt numFmtId="166" formatCode="0&quot; Nos.&quot;"/>
    <numFmt numFmtId="167" formatCode="0.00&quot;mm&quot;"/>
    <numFmt numFmtId="168" formatCode="0.000&quot; kN-m&quot;"/>
    <numFmt numFmtId="169" formatCode="0.000"/>
    <numFmt numFmtId="170" formatCode="0.000&quot; m&quot;"/>
    <numFmt numFmtId="171" formatCode="0.00&quot;MT&quot;"/>
    <numFmt numFmtId="172" formatCode="0.00000&quot;deg&quot;"/>
    <numFmt numFmtId="173" formatCode="0.0"/>
    <numFmt numFmtId="174" formatCode="0.0&quot;NB&quot;"/>
    <numFmt numFmtId="175" formatCode="0.00&quot;deg&quot;"/>
    <numFmt numFmtId="176" formatCode="0.00&quot;kN/m&quot;"/>
    <numFmt numFmtId="177" formatCode="0.000&quot;m&quot;"/>
    <numFmt numFmtId="178" formatCode="0.00&quot;°&quot;"/>
    <numFmt numFmtId="179" formatCode="0&quot; Nos&quot;"/>
    <numFmt numFmtId="180" formatCode="0.0&quot; m&quot;"/>
    <numFmt numFmtId="181" formatCode="0.0000&quot;°&quot;"/>
    <numFmt numFmtId="182" formatCode="0.00&quot; m&quot;"/>
    <numFmt numFmtId="183" formatCode="dd/mmm/yyyy"/>
    <numFmt numFmtId="184" formatCode="&quot;$&quot;#,##0\ ;\(&quot;$&quot;#,##0\)"/>
    <numFmt numFmtId="185" formatCode="0&quot; mm&quot;"/>
  </numFmts>
  <fonts count="36" x14ac:knownFonts="1">
    <font>
      <sz val="8"/>
      <color theme="1"/>
      <name val="Tahoma"/>
      <family val="2"/>
    </font>
    <font>
      <sz val="8"/>
      <color theme="1"/>
      <name val="Tahoma"/>
      <family val="2"/>
    </font>
    <font>
      <sz val="10"/>
      <color theme="1"/>
      <name val="Cambria"/>
      <family val="2"/>
    </font>
    <font>
      <sz val="11"/>
      <color theme="1"/>
      <name val="Aparajita"/>
      <family val="2"/>
    </font>
    <font>
      <sz val="11"/>
      <color theme="3"/>
      <name val="Aparajita"/>
      <family val="2"/>
    </font>
    <font>
      <b/>
      <u/>
      <sz val="11"/>
      <color theme="1"/>
      <name val="Aparajita"/>
      <family val="2"/>
    </font>
    <font>
      <i/>
      <sz val="11"/>
      <color theme="1"/>
      <name val="Aparajita"/>
      <family val="2"/>
    </font>
    <font>
      <i/>
      <sz val="10"/>
      <color theme="1"/>
      <name val="Cambria"/>
      <family val="2"/>
    </font>
    <font>
      <i/>
      <sz val="10"/>
      <color theme="1"/>
      <name val="Aparajita"/>
      <family val="2"/>
    </font>
    <font>
      <i/>
      <vertAlign val="superscript"/>
      <sz val="11"/>
      <color theme="1"/>
      <name val="Aparajita"/>
      <family val="2"/>
    </font>
    <font>
      <i/>
      <sz val="11"/>
      <color theme="1"/>
      <name val="Calibri"/>
      <family val="2"/>
    </font>
    <font>
      <i/>
      <u/>
      <sz val="11"/>
      <color theme="1"/>
      <name val="Aparajita"/>
      <family val="2"/>
    </font>
    <font>
      <i/>
      <sz val="8"/>
      <color theme="1"/>
      <name val="Cambria"/>
      <family val="1"/>
    </font>
    <font>
      <i/>
      <sz val="8"/>
      <color theme="1"/>
      <name val="Aparajita"/>
      <family val="2"/>
    </font>
    <font>
      <i/>
      <sz val="10"/>
      <color theme="1"/>
      <name val="Calibri Light"/>
      <family val="1"/>
      <scheme val="major"/>
    </font>
    <font>
      <i/>
      <sz val="10"/>
      <color theme="1"/>
      <name val="Cambria"/>
      <family val="1"/>
    </font>
    <font>
      <sz val="8"/>
      <color theme="3"/>
      <name val="Tahoma"/>
      <family val="2"/>
    </font>
    <font>
      <b/>
      <u/>
      <sz val="8"/>
      <color theme="1"/>
      <name val="Tahoma"/>
      <family val="2"/>
    </font>
    <font>
      <u/>
      <sz val="8"/>
      <color theme="1"/>
      <name val="Tahoma"/>
      <family val="2"/>
    </font>
    <font>
      <sz val="8"/>
      <color theme="3" tint="-0.249977111117893"/>
      <name val="Tahoma"/>
      <family val="2"/>
    </font>
    <font>
      <sz val="8"/>
      <color theme="7" tint="-0.249977111117893"/>
      <name val="Tahoma"/>
      <family val="2"/>
    </font>
    <font>
      <sz val="8"/>
      <color theme="1"/>
      <name val="Symbol"/>
      <family val="1"/>
      <charset val="2"/>
    </font>
    <font>
      <b/>
      <sz val="8"/>
      <color indexed="81"/>
      <name val="Tahoma"/>
      <family val="2"/>
    </font>
    <font>
      <sz val="8"/>
      <color indexed="81"/>
      <name val="Tahoma"/>
      <family val="2"/>
    </font>
    <font>
      <sz val="10"/>
      <color theme="3"/>
      <name val="Cambria"/>
      <family val="2"/>
    </font>
    <font>
      <sz val="8"/>
      <color theme="8" tint="-0.249977111117893"/>
      <name val="Tahoma"/>
      <family val="2"/>
    </font>
    <font>
      <sz val="10"/>
      <color theme="8" tint="-0.249977111117893"/>
      <name val="Cambria"/>
      <family val="2"/>
    </font>
    <font>
      <sz val="10"/>
      <color indexed="24"/>
      <name val="Arial"/>
      <family val="2"/>
    </font>
    <font>
      <sz val="10"/>
      <name val="Arial"/>
      <family val="2"/>
    </font>
    <font>
      <sz val="8"/>
      <color theme="8" tint="-0.499984740745262"/>
      <name val="Tahoma"/>
      <family val="2"/>
    </font>
    <font>
      <u/>
      <sz val="8"/>
      <color theme="8" tint="-0.499984740745262"/>
      <name val="Tahoma"/>
      <family val="2"/>
    </font>
    <font>
      <sz val="8"/>
      <color theme="4" tint="-0.499984740745262"/>
      <name val="Tahoma"/>
      <family val="2"/>
    </font>
    <font>
      <sz val="8"/>
      <color rgb="FF00B050"/>
      <name val="Tahoma"/>
      <family val="2"/>
    </font>
    <font>
      <sz val="8"/>
      <color rgb="FF000000"/>
      <name val="Segoe UI"/>
      <family val="2"/>
    </font>
    <font>
      <vertAlign val="superscript"/>
      <sz val="8"/>
      <color theme="1"/>
      <name val="Tahoma"/>
      <family val="2"/>
    </font>
    <font>
      <vertAlign val="subscript"/>
      <sz val="8"/>
      <color theme="1"/>
      <name val="Tahoma"/>
      <family val="2"/>
    </font>
  </fonts>
  <fills count="7">
    <fill>
      <patternFill patternType="none"/>
    </fill>
    <fill>
      <patternFill patternType="gray125"/>
    </fill>
    <fill>
      <patternFill patternType="solid">
        <fgColor rgb="FFF2C4A2"/>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theme="5" tint="0.59996337778862885"/>
        <bgColor indexed="64"/>
      </patternFill>
    </fill>
    <fill>
      <patternFill patternType="solid">
        <fgColor theme="0" tint="-0.249977111117893"/>
        <bgColor indexed="64"/>
      </patternFill>
    </fill>
  </fills>
  <borders count="35">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ck">
        <color auto="1"/>
      </bottom>
      <diagonal/>
    </border>
    <border>
      <left/>
      <right/>
      <top style="thin">
        <color auto="1"/>
      </top>
      <bottom style="thick">
        <color auto="1"/>
      </bottom>
      <diagonal/>
    </border>
    <border>
      <left/>
      <right style="thick">
        <color auto="1"/>
      </right>
      <top style="thin">
        <color auto="1"/>
      </top>
      <bottom style="thick">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right style="thick">
        <color auto="1"/>
      </right>
      <top style="thin">
        <color auto="1"/>
      </top>
      <bottom/>
      <diagonal/>
    </border>
    <border>
      <left/>
      <right style="thick">
        <color auto="1"/>
      </right>
      <top/>
      <bottom/>
      <diagonal/>
    </border>
    <border>
      <left style="thin">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style="hair">
        <color auto="1"/>
      </left>
      <right/>
      <top/>
      <bottom/>
      <diagonal/>
    </border>
    <border>
      <left/>
      <right style="hair">
        <color auto="1"/>
      </right>
      <top/>
      <bottom/>
      <diagonal/>
    </border>
    <border>
      <left style="hair">
        <color auto="1"/>
      </left>
      <right/>
      <top/>
      <bottom style="hair">
        <color auto="1"/>
      </bottom>
      <diagonal/>
    </border>
    <border>
      <left/>
      <right/>
      <top/>
      <bottom style="hair">
        <color auto="1"/>
      </bottom>
      <diagonal/>
    </border>
    <border>
      <left/>
      <right style="hair">
        <color auto="1"/>
      </right>
      <top/>
      <bottom style="hair">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
        <color auto="1"/>
      </right>
      <top style="thin">
        <color auto="1"/>
      </top>
      <bottom style="medium">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2">
    <xf numFmtId="0" fontId="0" fillId="0" borderId="0"/>
    <xf numFmtId="0" fontId="2" fillId="0" borderId="0"/>
    <xf numFmtId="43" fontId="1" fillId="0" borderId="0" applyFont="0" applyFill="0" applyBorder="0" applyAlignment="0" applyProtection="0"/>
    <xf numFmtId="3" fontId="27" fillId="0" borderId="0" applyFont="0" applyFill="0" applyBorder="0" applyAlignment="0" applyProtection="0"/>
    <xf numFmtId="184" fontId="27" fillId="0" borderId="0" applyFont="0" applyFill="0" applyBorder="0" applyAlignment="0" applyProtection="0"/>
    <xf numFmtId="0" fontId="27" fillId="0" borderId="0" applyFont="0" applyFill="0" applyBorder="0" applyAlignment="0" applyProtection="0"/>
    <xf numFmtId="2" fontId="27" fillId="0" borderId="0" applyFont="0" applyFill="0" applyBorder="0" applyAlignment="0" applyProtection="0"/>
    <xf numFmtId="0" fontId="28" fillId="0" borderId="0"/>
    <xf numFmtId="0" fontId="2" fillId="0" borderId="0"/>
    <xf numFmtId="0" fontId="1" fillId="0" borderId="0"/>
    <xf numFmtId="0" fontId="1" fillId="0" borderId="0"/>
    <xf numFmtId="0" fontId="1" fillId="0" borderId="0"/>
  </cellStyleXfs>
  <cellXfs count="408">
    <xf numFmtId="0" fontId="0" fillId="0" borderId="0" xfId="0"/>
    <xf numFmtId="0" fontId="3" fillId="0" borderId="1" xfId="1" applyFont="1" applyBorder="1" applyProtection="1">
      <protection hidden="1"/>
    </xf>
    <xf numFmtId="0" fontId="3" fillId="0" borderId="2" xfId="1" applyFont="1" applyBorder="1" applyAlignment="1" applyProtection="1">
      <alignment horizontal="center"/>
      <protection hidden="1"/>
    </xf>
    <xf numFmtId="0" fontId="3" fillId="0" borderId="0" xfId="1" applyFont="1" applyProtection="1">
      <protection hidden="1"/>
    </xf>
    <xf numFmtId="0" fontId="3" fillId="0" borderId="5" xfId="1" applyFont="1" applyBorder="1" applyProtection="1">
      <protection hidden="1"/>
    </xf>
    <xf numFmtId="0" fontId="3" fillId="0" borderId="6" xfId="1" applyFont="1" applyBorder="1" applyProtection="1">
      <protection hidden="1"/>
    </xf>
    <xf numFmtId="0" fontId="3" fillId="0" borderId="7" xfId="1" applyFont="1" applyBorder="1" applyProtection="1">
      <protection hidden="1"/>
    </xf>
    <xf numFmtId="0" fontId="3" fillId="0" borderId="8" xfId="1" applyFont="1" applyBorder="1" applyProtection="1">
      <protection hidden="1"/>
    </xf>
    <xf numFmtId="0" fontId="3" fillId="0" borderId="9" xfId="1" applyFont="1" applyBorder="1" applyProtection="1">
      <protection hidden="1"/>
    </xf>
    <xf numFmtId="0" fontId="3" fillId="0" borderId="10" xfId="1" applyFont="1" applyBorder="1" applyProtection="1">
      <protection hidden="1"/>
    </xf>
    <xf numFmtId="0" fontId="3" fillId="0" borderId="11" xfId="1" applyFont="1" applyBorder="1" applyProtection="1">
      <protection hidden="1"/>
    </xf>
    <xf numFmtId="0" fontId="5" fillId="0" borderId="0" xfId="1" applyFont="1" applyProtection="1">
      <protection hidden="1"/>
    </xf>
    <xf numFmtId="0" fontId="3" fillId="0" borderId="0" xfId="1" applyFont="1" applyAlignment="1" applyProtection="1">
      <alignment horizontal="center"/>
      <protection hidden="1"/>
    </xf>
    <xf numFmtId="0" fontId="3" fillId="0" borderId="12" xfId="1" applyFont="1" applyBorder="1" applyProtection="1">
      <protection hidden="1"/>
    </xf>
    <xf numFmtId="0" fontId="6" fillId="0" borderId="0" xfId="1" applyFont="1" applyAlignment="1" applyProtection="1">
      <alignment horizontal="center"/>
      <protection hidden="1"/>
    </xf>
    <xf numFmtId="49" fontId="3" fillId="0" borderId="0" xfId="1" applyNumberFormat="1" applyFont="1" applyProtection="1">
      <protection hidden="1"/>
    </xf>
    <xf numFmtId="0" fontId="3" fillId="0" borderId="13" xfId="1" applyFont="1" applyBorder="1" applyProtection="1">
      <protection hidden="1"/>
    </xf>
    <xf numFmtId="0" fontId="3" fillId="0" borderId="14" xfId="1" applyFont="1" applyBorder="1" applyProtection="1">
      <protection hidden="1"/>
    </xf>
    <xf numFmtId="0" fontId="6" fillId="0" borderId="0" xfId="1" applyFont="1" applyProtection="1">
      <protection hidden="1"/>
    </xf>
    <xf numFmtId="0" fontId="8" fillId="0" borderId="1" xfId="1" applyFont="1" applyBorder="1" applyProtection="1">
      <protection hidden="1"/>
    </xf>
    <xf numFmtId="0" fontId="3" fillId="0" borderId="2" xfId="1" applyFont="1" applyBorder="1" applyProtection="1">
      <protection hidden="1"/>
    </xf>
    <xf numFmtId="0" fontId="6" fillId="0" borderId="2" xfId="1" applyFont="1" applyBorder="1" applyAlignment="1" applyProtection="1">
      <alignment horizontal="center"/>
      <protection hidden="1"/>
    </xf>
    <xf numFmtId="0" fontId="6" fillId="0" borderId="2" xfId="1" applyFont="1" applyBorder="1" applyProtection="1">
      <protection hidden="1"/>
    </xf>
    <xf numFmtId="0" fontId="3" fillId="0" borderId="3" xfId="1" applyFont="1" applyBorder="1" applyProtection="1">
      <protection hidden="1"/>
    </xf>
    <xf numFmtId="2" fontId="2" fillId="0" borderId="0" xfId="1" applyNumberFormat="1" applyAlignment="1" applyProtection="1">
      <alignment horizontal="center"/>
      <protection hidden="1"/>
    </xf>
    <xf numFmtId="2" fontId="2" fillId="0" borderId="12" xfId="1" applyNumberFormat="1" applyBorder="1" applyAlignment="1" applyProtection="1">
      <alignment horizontal="center"/>
      <protection hidden="1"/>
    </xf>
    <xf numFmtId="0" fontId="10" fillId="0" borderId="0" xfId="1" applyFont="1" applyProtection="1">
      <protection hidden="1"/>
    </xf>
    <xf numFmtId="2" fontId="3" fillId="0" borderId="0" xfId="1" applyNumberFormat="1" applyFont="1" applyAlignment="1" applyProtection="1">
      <alignment horizontal="center"/>
      <protection hidden="1"/>
    </xf>
    <xf numFmtId="1" fontId="3" fillId="0" borderId="0" xfId="1" applyNumberFormat="1" applyFont="1" applyAlignment="1" applyProtection="1">
      <alignment horizontal="center"/>
      <protection hidden="1"/>
    </xf>
    <xf numFmtId="1" fontId="2" fillId="0" borderId="0" xfId="1" applyNumberFormat="1" applyAlignment="1" applyProtection="1">
      <alignment horizontal="center"/>
      <protection hidden="1"/>
    </xf>
    <xf numFmtId="1" fontId="3" fillId="0" borderId="11" xfId="1" applyNumberFormat="1" applyFont="1" applyBorder="1" applyAlignment="1" applyProtection="1">
      <alignment horizontal="center"/>
      <protection hidden="1"/>
    </xf>
    <xf numFmtId="1" fontId="3" fillId="0" borderId="15" xfId="1" applyNumberFormat="1" applyFont="1" applyBorder="1" applyAlignment="1" applyProtection="1">
      <alignment horizontal="center"/>
      <protection hidden="1"/>
    </xf>
    <xf numFmtId="0" fontId="3" fillId="0" borderId="16" xfId="1" applyFont="1" applyBorder="1" applyProtection="1">
      <protection hidden="1"/>
    </xf>
    <xf numFmtId="168" fontId="3" fillId="0" borderId="16" xfId="1" applyNumberFormat="1" applyFont="1" applyBorder="1" applyAlignment="1" applyProtection="1">
      <alignment horizontal="left"/>
      <protection hidden="1"/>
    </xf>
    <xf numFmtId="0" fontId="3" fillId="0" borderId="17" xfId="1" applyFont="1" applyBorder="1" applyProtection="1">
      <protection hidden="1"/>
    </xf>
    <xf numFmtId="0" fontId="6" fillId="0" borderId="0" xfId="1" applyFont="1" applyAlignment="1" applyProtection="1">
      <alignment horizontal="left"/>
      <protection hidden="1"/>
    </xf>
    <xf numFmtId="169" fontId="3" fillId="0" borderId="0" xfId="1" applyNumberFormat="1" applyFont="1" applyAlignment="1" applyProtection="1">
      <alignment horizontal="left"/>
      <protection hidden="1"/>
    </xf>
    <xf numFmtId="170" fontId="3" fillId="0" borderId="0" xfId="1" applyNumberFormat="1" applyFont="1" applyAlignment="1" applyProtection="1">
      <alignment horizontal="left"/>
      <protection hidden="1"/>
    </xf>
    <xf numFmtId="0" fontId="12" fillId="0" borderId="0" xfId="1" applyFont="1" applyAlignment="1" applyProtection="1">
      <alignment horizontal="center"/>
      <protection hidden="1"/>
    </xf>
    <xf numFmtId="0" fontId="3" fillId="0" borderId="0" xfId="1" quotePrefix="1" applyFont="1" applyProtection="1">
      <protection hidden="1"/>
    </xf>
    <xf numFmtId="171" fontId="3" fillId="0" borderId="0" xfId="1" applyNumberFormat="1" applyFont="1" applyAlignment="1" applyProtection="1">
      <alignment horizontal="left"/>
      <protection hidden="1"/>
    </xf>
    <xf numFmtId="171" fontId="2" fillId="0" borderId="0" xfId="1" applyNumberFormat="1" applyAlignment="1" applyProtection="1">
      <alignment horizontal="left"/>
      <protection hidden="1"/>
    </xf>
    <xf numFmtId="171" fontId="6" fillId="0" borderId="0" xfId="1" applyNumberFormat="1" applyFont="1" applyAlignment="1" applyProtection="1">
      <alignment horizontal="center"/>
      <protection hidden="1"/>
    </xf>
    <xf numFmtId="171" fontId="6" fillId="0" borderId="0" xfId="1" applyNumberFormat="1" applyFont="1" applyAlignment="1" applyProtection="1">
      <alignment horizontal="left"/>
      <protection hidden="1"/>
    </xf>
    <xf numFmtId="0" fontId="11" fillId="0" borderId="0" xfId="1" applyFont="1" applyProtection="1">
      <protection hidden="1"/>
    </xf>
    <xf numFmtId="0" fontId="3" fillId="0" borderId="0" xfId="1" applyFont="1" applyAlignment="1" applyProtection="1">
      <alignment horizontal="center" vertical="center"/>
      <protection hidden="1"/>
    </xf>
    <xf numFmtId="173" fontId="3" fillId="0" borderId="0" xfId="1" applyNumberFormat="1" applyFont="1" applyAlignment="1" applyProtection="1">
      <alignment horizontal="center"/>
      <protection hidden="1"/>
    </xf>
    <xf numFmtId="0" fontId="14" fillId="0" borderId="0" xfId="1" applyFont="1" applyAlignment="1" applyProtection="1">
      <alignment horizontal="center"/>
      <protection hidden="1"/>
    </xf>
    <xf numFmtId="173" fontId="3" fillId="0" borderId="0" xfId="1" applyNumberFormat="1" applyFont="1" applyAlignment="1" applyProtection="1">
      <alignment horizontal="left"/>
      <protection hidden="1"/>
    </xf>
    <xf numFmtId="0" fontId="2" fillId="0" borderId="0" xfId="1" applyAlignment="1" applyProtection="1">
      <alignment horizontal="left"/>
      <protection hidden="1"/>
    </xf>
    <xf numFmtId="0" fontId="3" fillId="0" borderId="0" xfId="1" applyFont="1" applyAlignment="1" applyProtection="1">
      <alignment horizontal="left"/>
      <protection hidden="1"/>
    </xf>
    <xf numFmtId="174" fontId="3" fillId="0" borderId="0" xfId="1" applyNumberFormat="1" applyFont="1" applyAlignment="1" applyProtection="1">
      <alignment horizontal="left"/>
      <protection hidden="1"/>
    </xf>
    <xf numFmtId="174" fontId="2" fillId="0" borderId="0" xfId="1" applyNumberFormat="1" applyAlignment="1" applyProtection="1">
      <alignment horizontal="left"/>
      <protection hidden="1"/>
    </xf>
    <xf numFmtId="175" fontId="2" fillId="0" borderId="0" xfId="1" applyNumberFormat="1" applyAlignment="1" applyProtection="1">
      <alignment horizontal="left" indent="1"/>
      <protection hidden="1"/>
    </xf>
    <xf numFmtId="176" fontId="3" fillId="0" borderId="0" xfId="1" applyNumberFormat="1" applyFont="1" applyAlignment="1" applyProtection="1">
      <alignment horizontal="left"/>
      <protection hidden="1"/>
    </xf>
    <xf numFmtId="176" fontId="2" fillId="0" borderId="0" xfId="1" applyNumberFormat="1" applyAlignment="1" applyProtection="1">
      <alignment horizontal="left"/>
      <protection hidden="1"/>
    </xf>
    <xf numFmtId="0" fontId="3" fillId="0" borderId="18" xfId="1" applyFont="1" applyBorder="1" applyProtection="1">
      <protection hidden="1"/>
    </xf>
    <xf numFmtId="0" fontId="3" fillId="0" borderId="19" xfId="1" applyFont="1" applyBorder="1" applyAlignment="1" applyProtection="1">
      <alignment horizontal="center"/>
      <protection hidden="1"/>
    </xf>
    <xf numFmtId="49" fontId="3" fillId="0" borderId="19" xfId="1" applyNumberFormat="1" applyFont="1" applyBorder="1" applyProtection="1">
      <protection hidden="1"/>
    </xf>
    <xf numFmtId="0" fontId="3" fillId="0" borderId="19" xfId="1" applyFont="1" applyBorder="1" applyAlignment="1" applyProtection="1">
      <alignment horizontal="left"/>
      <protection hidden="1"/>
    </xf>
    <xf numFmtId="0" fontId="3" fillId="0" borderId="19" xfId="1" applyFont="1" applyBorder="1" applyProtection="1">
      <protection hidden="1"/>
    </xf>
    <xf numFmtId="0" fontId="3" fillId="0" borderId="20" xfId="1" applyFont="1" applyBorder="1" applyProtection="1">
      <protection hidden="1"/>
    </xf>
    <xf numFmtId="0" fontId="1" fillId="0" borderId="0" xfId="1" applyFont="1" applyAlignment="1" applyProtection="1">
      <alignment vertical="center"/>
      <protection hidden="1"/>
    </xf>
    <xf numFmtId="0" fontId="1" fillId="0" borderId="2" xfId="1" applyFont="1" applyBorder="1" applyAlignment="1" applyProtection="1">
      <alignment horizontal="center" vertical="center"/>
      <protection hidden="1"/>
    </xf>
    <xf numFmtId="0" fontId="1" fillId="0" borderId="1" xfId="1" applyFont="1" applyBorder="1" applyAlignment="1" applyProtection="1">
      <alignment vertical="center"/>
      <protection hidden="1"/>
    </xf>
    <xf numFmtId="0" fontId="18" fillId="0" borderId="0" xfId="1" applyFont="1" applyAlignment="1" applyProtection="1">
      <alignment vertical="center"/>
      <protection hidden="1"/>
    </xf>
    <xf numFmtId="0" fontId="1" fillId="0" borderId="11" xfId="1" applyFont="1" applyBorder="1" applyAlignment="1" applyProtection="1">
      <alignment vertical="center"/>
      <protection hidden="1"/>
    </xf>
    <xf numFmtId="0" fontId="1" fillId="0" borderId="12" xfId="1" applyFont="1" applyBorder="1" applyAlignment="1" applyProtection="1">
      <alignment vertical="center"/>
      <protection hidden="1"/>
    </xf>
    <xf numFmtId="0" fontId="19" fillId="0" borderId="0" xfId="1" applyFont="1" applyAlignment="1" applyProtection="1">
      <alignment vertical="center"/>
      <protection locked="0" hidden="1"/>
    </xf>
    <xf numFmtId="0" fontId="20" fillId="0" borderId="0" xfId="1" applyFont="1" applyAlignment="1" applyProtection="1">
      <alignment vertical="center"/>
      <protection locked="0" hidden="1"/>
    </xf>
    <xf numFmtId="0" fontId="1" fillId="0" borderId="0" xfId="1" applyFont="1" applyAlignment="1" applyProtection="1">
      <alignment vertical="center"/>
      <protection locked="0" hidden="1"/>
    </xf>
    <xf numFmtId="0" fontId="1" fillId="0" borderId="18" xfId="1" applyFont="1" applyBorder="1" applyAlignment="1" applyProtection="1">
      <alignment vertical="center"/>
      <protection hidden="1"/>
    </xf>
    <xf numFmtId="0" fontId="1" fillId="0" borderId="19" xfId="1" applyFont="1" applyBorder="1" applyAlignment="1" applyProtection="1">
      <alignment vertical="center"/>
      <protection hidden="1"/>
    </xf>
    <xf numFmtId="0" fontId="1" fillId="0" borderId="20" xfId="1" applyFont="1" applyBorder="1" applyAlignment="1" applyProtection="1">
      <alignment vertical="center"/>
      <protection hidden="1"/>
    </xf>
    <xf numFmtId="0" fontId="1" fillId="0" borderId="8" xfId="1" applyFont="1" applyBorder="1" applyAlignment="1" applyProtection="1">
      <alignment vertical="center"/>
      <protection hidden="1"/>
    </xf>
    <xf numFmtId="0" fontId="1" fillId="0" borderId="9" xfId="1" applyFont="1" applyBorder="1" applyAlignment="1" applyProtection="1">
      <alignment vertical="center"/>
      <protection hidden="1"/>
    </xf>
    <xf numFmtId="0" fontId="1" fillId="0" borderId="10" xfId="1" applyFont="1" applyBorder="1" applyAlignment="1" applyProtection="1">
      <alignment vertical="center"/>
      <protection hidden="1"/>
    </xf>
    <xf numFmtId="0" fontId="17" fillId="0" borderId="0" xfId="1" applyFont="1" applyAlignment="1" applyProtection="1">
      <alignment vertical="center"/>
      <protection hidden="1"/>
    </xf>
    <xf numFmtId="0" fontId="21" fillId="0" borderId="0" xfId="1" applyFont="1" applyAlignment="1" applyProtection="1">
      <alignment vertical="center"/>
      <protection hidden="1"/>
    </xf>
    <xf numFmtId="0" fontId="0" fillId="0" borderId="0" xfId="1" applyFont="1" applyAlignment="1" applyProtection="1">
      <alignment vertical="center"/>
      <protection hidden="1"/>
    </xf>
    <xf numFmtId="0" fontId="19" fillId="0" borderId="0" xfId="1" applyFont="1" applyAlignment="1" applyProtection="1">
      <alignment vertical="center"/>
      <protection locked="0"/>
    </xf>
    <xf numFmtId="0" fontId="20" fillId="0" borderId="0" xfId="1" applyFont="1" applyAlignment="1" applyProtection="1">
      <alignment vertical="center"/>
      <protection locked="0"/>
    </xf>
    <xf numFmtId="0" fontId="1" fillId="0" borderId="0" xfId="1" applyFont="1" applyAlignment="1" applyProtection="1">
      <alignment vertical="center"/>
      <protection locked="0"/>
    </xf>
    <xf numFmtId="0" fontId="1" fillId="0" borderId="1" xfId="1" applyFont="1" applyBorder="1" applyAlignment="1" applyProtection="1">
      <alignment horizontal="center" vertical="center"/>
      <protection hidden="1"/>
    </xf>
    <xf numFmtId="0" fontId="0" fillId="0" borderId="2" xfId="1" applyFont="1" applyBorder="1" applyAlignment="1" applyProtection="1">
      <alignment horizontal="center" vertical="center"/>
      <protection hidden="1"/>
    </xf>
    <xf numFmtId="0" fontId="0" fillId="0" borderId="1" xfId="1" applyFont="1" applyBorder="1" applyAlignment="1" applyProtection="1">
      <alignment horizontal="center" vertical="center"/>
      <protection hidden="1"/>
    </xf>
    <xf numFmtId="0" fontId="0" fillId="0" borderId="0" xfId="1" quotePrefix="1" applyFont="1" applyAlignment="1" applyProtection="1">
      <alignment vertical="center"/>
      <protection hidden="1"/>
    </xf>
    <xf numFmtId="0" fontId="1" fillId="0" borderId="2" xfId="1" applyFont="1" applyBorder="1" applyAlignment="1" applyProtection="1">
      <alignment vertical="center"/>
      <protection hidden="1"/>
    </xf>
    <xf numFmtId="0" fontId="0" fillId="0" borderId="3" xfId="1" applyFont="1" applyBorder="1" applyAlignment="1" applyProtection="1">
      <alignment horizontal="center" vertical="center"/>
      <protection hidden="1"/>
    </xf>
    <xf numFmtId="0" fontId="1" fillId="0" borderId="0" xfId="1" applyFont="1" applyAlignment="1" applyProtection="1">
      <alignment horizontal="left" vertical="center" indent="1"/>
      <protection hidden="1"/>
    </xf>
    <xf numFmtId="0" fontId="1" fillId="0" borderId="21" xfId="1" applyFont="1" applyBorder="1" applyAlignment="1" applyProtection="1">
      <alignment vertical="center"/>
      <protection hidden="1"/>
    </xf>
    <xf numFmtId="0" fontId="1" fillId="0" borderId="22" xfId="1" applyFont="1" applyBorder="1" applyAlignment="1" applyProtection="1">
      <alignment vertical="center"/>
      <protection hidden="1"/>
    </xf>
    <xf numFmtId="0" fontId="1" fillId="0" borderId="23" xfId="1" applyFont="1" applyBorder="1" applyAlignment="1" applyProtection="1">
      <alignment vertical="center"/>
      <protection hidden="1"/>
    </xf>
    <xf numFmtId="0" fontId="1" fillId="0" borderId="24" xfId="1" applyFont="1" applyBorder="1" applyAlignment="1" applyProtection="1">
      <alignment vertical="center"/>
      <protection hidden="1"/>
    </xf>
    <xf numFmtId="0" fontId="1" fillId="0" borderId="25" xfId="1" applyFont="1" applyBorder="1" applyAlignment="1" applyProtection="1">
      <alignment vertical="center"/>
      <protection hidden="1"/>
    </xf>
    <xf numFmtId="0" fontId="1" fillId="0" borderId="26" xfId="1" applyFont="1" applyBorder="1" applyAlignment="1" applyProtection="1">
      <alignment vertical="center"/>
      <protection hidden="1"/>
    </xf>
    <xf numFmtId="0" fontId="1" fillId="0" borderId="27" xfId="1" applyFont="1" applyBorder="1" applyAlignment="1" applyProtection="1">
      <alignment vertical="center"/>
      <protection hidden="1"/>
    </xf>
    <xf numFmtId="0" fontId="1" fillId="0" borderId="28" xfId="1" applyFont="1" applyBorder="1" applyAlignment="1" applyProtection="1">
      <alignment vertical="center"/>
      <protection hidden="1"/>
    </xf>
    <xf numFmtId="0" fontId="0" fillId="0" borderId="0" xfId="0" applyAlignment="1">
      <alignment vertical="center"/>
    </xf>
    <xf numFmtId="167" fontId="6" fillId="0" borderId="0" xfId="1" applyNumberFormat="1" applyFont="1" applyAlignment="1" applyProtection="1">
      <alignment horizontal="left" indent="1"/>
      <protection hidden="1"/>
    </xf>
    <xf numFmtId="167" fontId="7" fillId="0" borderId="0" xfId="1" applyNumberFormat="1" applyFont="1" applyAlignment="1" applyProtection="1">
      <alignment horizontal="left" indent="1"/>
      <protection hidden="1"/>
    </xf>
    <xf numFmtId="0" fontId="16" fillId="0" borderId="0" xfId="1" applyFont="1" applyAlignment="1" applyProtection="1">
      <alignment vertical="center"/>
      <protection locked="0" hidden="1"/>
    </xf>
    <xf numFmtId="164" fontId="1" fillId="0" borderId="29" xfId="1" applyNumberFormat="1" applyFont="1" applyBorder="1" applyAlignment="1" applyProtection="1">
      <alignment horizontal="left" vertical="center" indent="1"/>
      <protection hidden="1"/>
    </xf>
    <xf numFmtId="164" fontId="1" fillId="0" borderId="30" xfId="1" applyNumberFormat="1" applyFont="1" applyBorder="1" applyAlignment="1" applyProtection="1">
      <alignment horizontal="center" vertical="center"/>
      <protection hidden="1"/>
    </xf>
    <xf numFmtId="0" fontId="1" fillId="0" borderId="30" xfId="1" applyFont="1" applyBorder="1" applyAlignment="1" applyProtection="1">
      <alignment vertical="center"/>
      <protection hidden="1"/>
    </xf>
    <xf numFmtId="0" fontId="1" fillId="0" borderId="31" xfId="1" applyFont="1" applyBorder="1" applyAlignment="1" applyProtection="1">
      <alignment vertical="center"/>
      <protection hidden="1"/>
    </xf>
    <xf numFmtId="0" fontId="1" fillId="0" borderId="0" xfId="1" applyFont="1" applyAlignment="1" applyProtection="1">
      <alignment horizontal="center" vertical="center"/>
      <protection hidden="1"/>
    </xf>
    <xf numFmtId="0" fontId="2" fillId="0" borderId="0" xfId="1" applyAlignment="1" applyProtection="1">
      <alignment vertical="center"/>
      <protection hidden="1"/>
    </xf>
    <xf numFmtId="0" fontId="1" fillId="0" borderId="0" xfId="1" quotePrefix="1" applyFont="1" applyAlignment="1" applyProtection="1">
      <alignment vertical="center"/>
      <protection hidden="1"/>
    </xf>
    <xf numFmtId="0" fontId="24" fillId="0" borderId="0" xfId="1" applyFont="1" applyAlignment="1" applyProtection="1">
      <alignment vertical="center"/>
      <protection locked="0"/>
    </xf>
    <xf numFmtId="0" fontId="25" fillId="0" borderId="0" xfId="1" applyFont="1" applyAlignment="1" applyProtection="1">
      <alignment vertical="center"/>
      <protection locked="0" hidden="1"/>
    </xf>
    <xf numFmtId="0" fontId="26" fillId="0" borderId="0" xfId="1" applyFont="1" applyAlignment="1" applyProtection="1">
      <alignment vertical="center"/>
      <protection locked="0"/>
    </xf>
    <xf numFmtId="0" fontId="2" fillId="0" borderId="0" xfId="1" applyAlignment="1" applyProtection="1">
      <alignment vertical="center"/>
      <protection locked="0"/>
    </xf>
    <xf numFmtId="0" fontId="0" fillId="0" borderId="0" xfId="1" applyFont="1" applyAlignment="1" applyProtection="1">
      <alignment horizontal="center" vertical="center"/>
      <protection hidden="1"/>
    </xf>
    <xf numFmtId="0" fontId="0" fillId="0" borderId="0" xfId="0" applyAlignment="1">
      <alignment horizontal="center" vertical="center"/>
    </xf>
    <xf numFmtId="0" fontId="30" fillId="0" borderId="0" xfId="1" applyFont="1" applyAlignment="1" applyProtection="1">
      <alignment vertical="center"/>
      <protection hidden="1"/>
    </xf>
    <xf numFmtId="0" fontId="16" fillId="0" borderId="0" xfId="1" applyFont="1" applyAlignment="1" applyProtection="1">
      <alignment horizontal="center" vertical="center"/>
      <protection locked="0" hidden="1"/>
    </xf>
    <xf numFmtId="0" fontId="16" fillId="0" borderId="0" xfId="0" applyFont="1" applyAlignment="1">
      <alignment horizontal="center" vertical="center"/>
    </xf>
    <xf numFmtId="0" fontId="16" fillId="0" borderId="0" xfId="1" applyFont="1" applyAlignment="1" applyProtection="1">
      <alignment horizontal="left" vertical="center"/>
      <protection locked="0" hidden="1"/>
    </xf>
    <xf numFmtId="0" fontId="0" fillId="0" borderId="0" xfId="0" applyAlignment="1">
      <alignment horizontal="left" vertical="center"/>
    </xf>
    <xf numFmtId="0" fontId="1" fillId="0" borderId="4" xfId="1" applyFont="1" applyBorder="1" applyAlignment="1" applyProtection="1">
      <alignment horizontal="left" vertical="center"/>
      <protection hidden="1"/>
    </xf>
    <xf numFmtId="0" fontId="1" fillId="0" borderId="34" xfId="1" applyFont="1" applyBorder="1" applyAlignment="1" applyProtection="1">
      <alignment horizontal="left" vertical="center"/>
      <protection hidden="1"/>
    </xf>
    <xf numFmtId="0" fontId="18" fillId="0" borderId="0" xfId="0" applyFont="1" applyAlignment="1">
      <alignment horizontal="left" vertical="center"/>
    </xf>
    <xf numFmtId="0" fontId="0" fillId="0" borderId="1" xfId="1" applyFont="1" applyBorder="1" applyAlignment="1" applyProtection="1">
      <alignment horizontal="left" vertical="center" indent="1"/>
      <protection hidden="1"/>
    </xf>
    <xf numFmtId="0" fontId="0" fillId="0" borderId="2" xfId="1" applyFont="1" applyBorder="1" applyAlignment="1" applyProtection="1">
      <alignment horizontal="left" vertical="center" indent="1"/>
      <protection hidden="1"/>
    </xf>
    <xf numFmtId="0" fontId="0" fillId="0" borderId="2" xfId="0" applyBorder="1" applyAlignment="1">
      <alignment horizontal="left" vertical="center" indent="1"/>
    </xf>
    <xf numFmtId="0" fontId="0" fillId="0" borderId="3" xfId="0" applyBorder="1" applyAlignment="1">
      <alignment horizontal="left" vertical="center" indent="1"/>
    </xf>
    <xf numFmtId="0" fontId="0" fillId="0" borderId="33" xfId="0" applyBorder="1" applyAlignment="1" applyProtection="1">
      <alignment vertical="center"/>
      <protection hidden="1"/>
    </xf>
    <xf numFmtId="0" fontId="31" fillId="0" borderId="0" xfId="1" applyFont="1" applyAlignment="1" applyProtection="1">
      <alignment vertical="center"/>
      <protection hidden="1"/>
    </xf>
    <xf numFmtId="0" fontId="1" fillId="0" borderId="33" xfId="1" applyFont="1" applyBorder="1" applyAlignment="1" applyProtection="1">
      <alignment vertical="center"/>
      <protection hidden="1"/>
    </xf>
    <xf numFmtId="0" fontId="1" fillId="0" borderId="2" xfId="1" applyFont="1" applyBorder="1" applyAlignment="1" applyProtection="1">
      <alignment vertical="center"/>
      <protection hidden="1"/>
    </xf>
    <xf numFmtId="0" fontId="0" fillId="0" borderId="3" xfId="1" applyFont="1" applyBorder="1" applyAlignment="1" applyProtection="1">
      <alignment horizontal="center" vertical="center"/>
      <protection hidden="1"/>
    </xf>
    <xf numFmtId="0" fontId="0" fillId="0" borderId="1" xfId="1" applyFont="1" applyBorder="1" applyAlignment="1" applyProtection="1">
      <alignment horizontal="left" vertical="center" indent="1"/>
      <protection hidden="1"/>
    </xf>
    <xf numFmtId="0" fontId="1" fillId="0" borderId="2" xfId="1" applyFont="1" applyBorder="1" applyAlignment="1" applyProtection="1">
      <alignment vertical="center"/>
      <protection hidden="1"/>
    </xf>
    <xf numFmtId="0" fontId="0" fillId="0" borderId="1" xfId="1" applyFont="1" applyBorder="1" applyAlignment="1" applyProtection="1">
      <alignment horizontal="left" vertical="center" indent="1"/>
      <protection hidden="1"/>
    </xf>
    <xf numFmtId="0" fontId="0" fillId="0" borderId="3" xfId="1" applyFont="1" applyBorder="1" applyAlignment="1" applyProtection="1">
      <alignment horizontal="center" vertical="center"/>
      <protection hidden="1"/>
    </xf>
    <xf numFmtId="0" fontId="1" fillId="0" borderId="2" xfId="1" applyFont="1" applyBorder="1" applyAlignment="1" applyProtection="1">
      <alignment vertical="center"/>
      <protection hidden="1"/>
    </xf>
    <xf numFmtId="0" fontId="0" fillId="0" borderId="1" xfId="1" applyFont="1" applyBorder="1" applyAlignment="1" applyProtection="1">
      <alignment horizontal="left" vertical="center" indent="1"/>
      <protection hidden="1"/>
    </xf>
    <xf numFmtId="0" fontId="0" fillId="0" borderId="3" xfId="1" applyFont="1" applyBorder="1" applyAlignment="1" applyProtection="1">
      <alignment horizontal="center" vertical="center"/>
      <protection hidden="1"/>
    </xf>
    <xf numFmtId="0" fontId="1" fillId="0" borderId="2" xfId="1" applyFont="1" applyBorder="1" applyAlignment="1" applyProtection="1">
      <alignment vertical="center"/>
      <protection hidden="1"/>
    </xf>
    <xf numFmtId="0" fontId="0" fillId="0" borderId="1" xfId="1" applyFont="1" applyBorder="1" applyAlignment="1" applyProtection="1">
      <alignment horizontal="left" vertical="center" indent="1"/>
      <protection hidden="1"/>
    </xf>
    <xf numFmtId="0" fontId="0" fillId="0" borderId="3" xfId="1" applyFont="1" applyBorder="1" applyAlignment="1" applyProtection="1">
      <alignment horizontal="center" vertical="center"/>
      <protection hidden="1"/>
    </xf>
    <xf numFmtId="0" fontId="1" fillId="0" borderId="2" xfId="1" applyFont="1" applyBorder="1" applyAlignment="1" applyProtection="1">
      <alignment vertical="center"/>
      <protection hidden="1"/>
    </xf>
    <xf numFmtId="0" fontId="1" fillId="0" borderId="3" xfId="1" applyFont="1" applyBorder="1" applyAlignment="1" applyProtection="1">
      <alignment vertical="center"/>
      <protection hidden="1"/>
    </xf>
    <xf numFmtId="0" fontId="1" fillId="0" borderId="1" xfId="1" applyFont="1" applyBorder="1" applyAlignment="1" applyProtection="1">
      <alignment vertical="center"/>
      <protection hidden="1"/>
    </xf>
    <xf numFmtId="0" fontId="1" fillId="0" borderId="2" xfId="1" applyFont="1" applyBorder="1" applyAlignment="1" applyProtection="1">
      <alignment horizontal="center" vertical="center"/>
      <protection hidden="1"/>
    </xf>
    <xf numFmtId="0" fontId="1" fillId="0" borderId="3" xfId="1" applyFont="1" applyBorder="1" applyAlignment="1" applyProtection="1">
      <alignment horizontal="center" vertical="center"/>
      <protection hidden="1"/>
    </xf>
    <xf numFmtId="0" fontId="1" fillId="0" borderId="4" xfId="1" applyFont="1" applyBorder="1" applyAlignment="1" applyProtection="1">
      <alignment horizontal="center" vertical="center"/>
      <protection hidden="1"/>
    </xf>
    <xf numFmtId="0" fontId="16" fillId="6" borderId="1" xfId="1" applyFont="1" applyFill="1" applyBorder="1" applyAlignment="1" applyProtection="1">
      <alignment horizontal="left" vertical="center" indent="1"/>
      <protection hidden="1"/>
    </xf>
    <xf numFmtId="0" fontId="24" fillId="6" borderId="2" xfId="1" applyFont="1" applyFill="1" applyBorder="1" applyAlignment="1" applyProtection="1">
      <alignment horizontal="left" vertical="center" indent="1"/>
      <protection hidden="1"/>
    </xf>
    <xf numFmtId="0" fontId="24" fillId="6" borderId="3" xfId="1" applyFont="1" applyFill="1" applyBorder="1" applyAlignment="1" applyProtection="1">
      <alignment horizontal="left" vertical="center" indent="1"/>
      <protection hidden="1"/>
    </xf>
    <xf numFmtId="0" fontId="25" fillId="6" borderId="1" xfId="1" applyFont="1" applyFill="1" applyBorder="1" applyAlignment="1" applyProtection="1">
      <alignment horizontal="left" vertical="center" indent="1"/>
      <protection hidden="1"/>
    </xf>
    <xf numFmtId="0" fontId="2" fillId="0" borderId="2" xfId="1" applyBorder="1" applyAlignment="1" applyProtection="1">
      <alignment horizontal="left" vertical="center" indent="1"/>
      <protection hidden="1"/>
    </xf>
    <xf numFmtId="0" fontId="2" fillId="0" borderId="3" xfId="1" applyBorder="1" applyAlignment="1" applyProtection="1">
      <alignment horizontal="left" vertical="center" indent="1"/>
      <protection hidden="1"/>
    </xf>
    <xf numFmtId="0" fontId="2" fillId="6" borderId="2" xfId="1" applyFill="1" applyBorder="1" applyAlignment="1" applyProtection="1">
      <alignment horizontal="left" vertical="center" indent="1"/>
      <protection hidden="1"/>
    </xf>
    <xf numFmtId="0" fontId="16" fillId="0" borderId="2" xfId="1" applyFont="1" applyBorder="1" applyAlignment="1" applyProtection="1">
      <alignment vertical="center"/>
      <protection hidden="1"/>
    </xf>
    <xf numFmtId="0" fontId="16" fillId="0" borderId="3" xfId="1" applyFont="1" applyBorder="1" applyAlignment="1" applyProtection="1">
      <alignment vertical="center"/>
      <protection hidden="1"/>
    </xf>
    <xf numFmtId="0" fontId="0" fillId="3" borderId="1" xfId="1" applyFont="1" applyFill="1" applyBorder="1" applyAlignment="1" applyProtection="1">
      <alignment horizontal="center" vertical="center"/>
      <protection hidden="1"/>
    </xf>
    <xf numFmtId="0" fontId="1" fillId="3" borderId="2" xfId="1" applyFont="1" applyFill="1" applyBorder="1" applyAlignment="1" applyProtection="1">
      <alignment horizontal="center" vertical="center"/>
      <protection hidden="1"/>
    </xf>
    <xf numFmtId="0" fontId="1" fillId="3" borderId="3" xfId="1" applyFont="1" applyFill="1" applyBorder="1" applyAlignment="1" applyProtection="1">
      <alignment horizontal="center" vertical="center"/>
      <protection hidden="1"/>
    </xf>
    <xf numFmtId="164" fontId="1" fillId="0" borderId="4" xfId="1" applyNumberFormat="1" applyFont="1" applyBorder="1" applyAlignment="1" applyProtection="1">
      <alignment horizontal="center" vertical="center"/>
      <protection hidden="1"/>
    </xf>
    <xf numFmtId="173" fontId="16" fillId="0" borderId="1" xfId="1" applyNumberFormat="1" applyFont="1" applyBorder="1" applyAlignment="1" applyProtection="1">
      <alignment horizontal="left" vertical="center" indent="1"/>
      <protection hidden="1"/>
    </xf>
    <xf numFmtId="173" fontId="24" fillId="0" borderId="2" xfId="1" applyNumberFormat="1" applyFont="1" applyBorder="1" applyAlignment="1" applyProtection="1">
      <alignment horizontal="left" vertical="center" indent="1"/>
      <protection hidden="1"/>
    </xf>
    <xf numFmtId="173" fontId="24" fillId="0" borderId="3" xfId="1" applyNumberFormat="1" applyFont="1" applyBorder="1" applyAlignment="1" applyProtection="1">
      <alignment horizontal="left" vertical="center" indent="1"/>
      <protection hidden="1"/>
    </xf>
    <xf numFmtId="0" fontId="25" fillId="0" borderId="1" xfId="1" applyFont="1" applyBorder="1" applyAlignment="1" applyProtection="1">
      <alignment horizontal="left" vertical="center" indent="1"/>
      <protection hidden="1"/>
    </xf>
    <xf numFmtId="183" fontId="16" fillId="0" borderId="1" xfId="1" applyNumberFormat="1" applyFont="1" applyBorder="1" applyAlignment="1" applyProtection="1">
      <alignment horizontal="left" vertical="center" indent="1"/>
      <protection hidden="1"/>
    </xf>
    <xf numFmtId="183" fontId="24" fillId="0" borderId="2" xfId="1" applyNumberFormat="1" applyFont="1" applyBorder="1" applyAlignment="1" applyProtection="1">
      <alignment horizontal="left" vertical="center" indent="1"/>
      <protection hidden="1"/>
    </xf>
    <xf numFmtId="183" fontId="24" fillId="0" borderId="3" xfId="1" applyNumberFormat="1" applyFont="1" applyBorder="1" applyAlignment="1" applyProtection="1">
      <alignment horizontal="left" vertical="center" indent="1"/>
      <protection hidden="1"/>
    </xf>
    <xf numFmtId="173" fontId="16" fillId="0" borderId="8" xfId="1" applyNumberFormat="1" applyFont="1" applyBorder="1" applyAlignment="1" applyProtection="1">
      <alignment horizontal="left" vertical="center" indent="1"/>
      <protection hidden="1"/>
    </xf>
    <xf numFmtId="173" fontId="24" fillId="0" borderId="9" xfId="1" applyNumberFormat="1" applyFont="1" applyBorder="1" applyAlignment="1" applyProtection="1">
      <alignment horizontal="left" vertical="center" indent="1"/>
      <protection hidden="1"/>
    </xf>
    <xf numFmtId="173" fontId="24" fillId="0" borderId="10" xfId="1" applyNumberFormat="1" applyFont="1" applyBorder="1" applyAlignment="1" applyProtection="1">
      <alignment horizontal="left" vertical="center" indent="1"/>
      <protection hidden="1"/>
    </xf>
    <xf numFmtId="0" fontId="2" fillId="0" borderId="18" xfId="1" applyBorder="1" applyAlignment="1">
      <alignment horizontal="left" vertical="center" indent="1"/>
    </xf>
    <xf numFmtId="0" fontId="2" fillId="0" borderId="19" xfId="1" applyBorder="1" applyAlignment="1">
      <alignment horizontal="left" vertical="center" indent="1"/>
    </xf>
    <xf numFmtId="0" fontId="2" fillId="0" borderId="20" xfId="1" applyBorder="1" applyAlignment="1">
      <alignment horizontal="left" vertical="center" indent="1"/>
    </xf>
    <xf numFmtId="0" fontId="25" fillId="0" borderId="8" xfId="1" applyFont="1" applyBorder="1" applyAlignment="1" applyProtection="1">
      <alignment horizontal="left" vertical="center" indent="1"/>
      <protection hidden="1"/>
    </xf>
    <xf numFmtId="0" fontId="2" fillId="0" borderId="9" xfId="1" applyBorder="1" applyAlignment="1" applyProtection="1">
      <alignment horizontal="left" vertical="center" indent="1"/>
      <protection hidden="1"/>
    </xf>
    <xf numFmtId="0" fontId="2" fillId="0" borderId="10" xfId="1" applyBorder="1" applyAlignment="1" applyProtection="1">
      <alignment horizontal="left" vertical="center" indent="1"/>
      <protection hidden="1"/>
    </xf>
    <xf numFmtId="183" fontId="16" fillId="0" borderId="8" xfId="1" applyNumberFormat="1" applyFont="1" applyBorder="1" applyAlignment="1" applyProtection="1">
      <alignment horizontal="left" vertical="center" indent="1"/>
      <protection hidden="1"/>
    </xf>
    <xf numFmtId="183" fontId="24" fillId="0" borderId="9" xfId="1" applyNumberFormat="1" applyFont="1" applyBorder="1" applyAlignment="1" applyProtection="1">
      <alignment horizontal="left" vertical="center" indent="1"/>
      <protection hidden="1"/>
    </xf>
    <xf numFmtId="183" fontId="24" fillId="0" borderId="10" xfId="1" applyNumberFormat="1" applyFont="1" applyBorder="1" applyAlignment="1" applyProtection="1">
      <alignment horizontal="left" vertical="center" indent="1"/>
      <protection hidden="1"/>
    </xf>
    <xf numFmtId="0" fontId="25" fillId="0" borderId="8" xfId="1" applyFont="1" applyBorder="1" applyAlignment="1" applyProtection="1">
      <alignment horizontal="left" vertical="center" wrapText="1" indent="1"/>
      <protection hidden="1"/>
    </xf>
    <xf numFmtId="0" fontId="2" fillId="0" borderId="9" xfId="1" applyBorder="1" applyAlignment="1" applyProtection="1">
      <alignment horizontal="left" vertical="center" wrapText="1" indent="1"/>
      <protection hidden="1"/>
    </xf>
    <xf numFmtId="0" fontId="2" fillId="0" borderId="10" xfId="1" applyBorder="1" applyAlignment="1" applyProtection="1">
      <alignment horizontal="left" vertical="center" wrapText="1" indent="1"/>
      <protection hidden="1"/>
    </xf>
    <xf numFmtId="0" fontId="2" fillId="0" borderId="18" xfId="1" applyBorder="1" applyAlignment="1">
      <alignment horizontal="left" vertical="center" wrapText="1" indent="1"/>
    </xf>
    <xf numFmtId="0" fontId="2" fillId="0" borderId="19" xfId="1" applyBorder="1" applyAlignment="1">
      <alignment horizontal="left" vertical="center" wrapText="1" indent="1"/>
    </xf>
    <xf numFmtId="0" fontId="2" fillId="0" borderId="20" xfId="1" applyBorder="1" applyAlignment="1">
      <alignment horizontal="left" vertical="center" wrapText="1" indent="1"/>
    </xf>
    <xf numFmtId="173" fontId="16" fillId="0" borderId="9" xfId="1" applyNumberFormat="1" applyFont="1" applyBorder="1" applyAlignment="1" applyProtection="1">
      <alignment horizontal="left" vertical="center" indent="1"/>
      <protection hidden="1"/>
    </xf>
    <xf numFmtId="173" fontId="16" fillId="0" borderId="10" xfId="1" applyNumberFormat="1" applyFont="1" applyBorder="1" applyAlignment="1" applyProtection="1">
      <alignment horizontal="left" vertical="center" indent="1"/>
      <protection hidden="1"/>
    </xf>
    <xf numFmtId="0" fontId="1" fillId="0" borderId="18" xfId="1" applyFont="1" applyBorder="1" applyAlignment="1">
      <alignment horizontal="left" vertical="center" indent="1"/>
    </xf>
    <xf numFmtId="0" fontId="1" fillId="0" borderId="19" xfId="1" applyFont="1" applyBorder="1" applyAlignment="1">
      <alignment horizontal="left" vertical="center" indent="1"/>
    </xf>
    <xf numFmtId="0" fontId="1" fillId="0" borderId="20" xfId="1" applyFont="1" applyBorder="1" applyAlignment="1">
      <alignment horizontal="left" vertical="center" indent="1"/>
    </xf>
    <xf numFmtId="0" fontId="1" fillId="0" borderId="9" xfId="1" applyFont="1" applyBorder="1" applyAlignment="1" applyProtection="1">
      <alignment horizontal="left" vertical="center" indent="1"/>
      <protection hidden="1"/>
    </xf>
    <xf numFmtId="0" fontId="1" fillId="0" borderId="10" xfId="1" applyFont="1" applyBorder="1" applyAlignment="1" applyProtection="1">
      <alignment horizontal="left" vertical="center" indent="1"/>
      <protection hidden="1"/>
    </xf>
    <xf numFmtId="183" fontId="16" fillId="0" borderId="9" xfId="1" applyNumberFormat="1" applyFont="1" applyBorder="1" applyAlignment="1" applyProtection="1">
      <alignment horizontal="left" vertical="center" indent="1"/>
      <protection hidden="1"/>
    </xf>
    <xf numFmtId="183" fontId="16" fillId="0" borderId="10" xfId="1" applyNumberFormat="1" applyFont="1" applyBorder="1" applyAlignment="1" applyProtection="1">
      <alignment horizontal="left" vertical="center" indent="1"/>
      <protection hidden="1"/>
    </xf>
    <xf numFmtId="0" fontId="1" fillId="0" borderId="9" xfId="1" applyFont="1" applyBorder="1" applyAlignment="1" applyProtection="1">
      <alignment horizontal="left" vertical="center" wrapText="1" indent="1"/>
      <protection hidden="1"/>
    </xf>
    <xf numFmtId="0" fontId="1" fillId="0" borderId="10" xfId="1" applyFont="1" applyBorder="1" applyAlignment="1" applyProtection="1">
      <alignment horizontal="left" vertical="center" wrapText="1" indent="1"/>
      <protection hidden="1"/>
    </xf>
    <xf numFmtId="0" fontId="1" fillId="0" borderId="18" xfId="1" applyFont="1" applyBorder="1" applyAlignment="1">
      <alignment horizontal="left" vertical="center" wrapText="1" indent="1"/>
    </xf>
    <xf numFmtId="0" fontId="1" fillId="0" borderId="19" xfId="1" applyFont="1" applyBorder="1" applyAlignment="1">
      <alignment horizontal="left" vertical="center" wrapText="1" indent="1"/>
    </xf>
    <xf numFmtId="0" fontId="1" fillId="0" borderId="20" xfId="1" applyFont="1" applyBorder="1" applyAlignment="1">
      <alignment horizontal="left" vertical="center" wrapText="1" indent="1"/>
    </xf>
    <xf numFmtId="173" fontId="16" fillId="0" borderId="32" xfId="1" applyNumberFormat="1" applyFont="1" applyBorder="1" applyAlignment="1" applyProtection="1">
      <alignment horizontal="left" vertical="center" indent="1"/>
      <protection hidden="1"/>
    </xf>
    <xf numFmtId="0" fontId="1" fillId="0" borderId="34" xfId="1" applyFont="1" applyBorder="1" applyAlignment="1">
      <alignment horizontal="left" vertical="center" indent="1"/>
    </xf>
    <xf numFmtId="0" fontId="25" fillId="0" borderId="32" xfId="1" applyFont="1" applyBorder="1" applyAlignment="1" applyProtection="1">
      <alignment horizontal="left" vertical="center" indent="1"/>
      <protection hidden="1"/>
    </xf>
    <xf numFmtId="0" fontId="1" fillId="0" borderId="32" xfId="1" applyFont="1" applyBorder="1" applyAlignment="1" applyProtection="1">
      <alignment horizontal="left" vertical="center" indent="1"/>
      <protection hidden="1"/>
    </xf>
    <xf numFmtId="183" fontId="16" fillId="0" borderId="32" xfId="1" applyNumberFormat="1" applyFont="1" applyBorder="1" applyAlignment="1" applyProtection="1">
      <alignment horizontal="left" vertical="center" indent="1"/>
      <protection hidden="1"/>
    </xf>
    <xf numFmtId="0" fontId="25" fillId="0" borderId="32" xfId="1" applyFont="1" applyBorder="1" applyAlignment="1" applyProtection="1">
      <alignment horizontal="left" vertical="center" wrapText="1" indent="1"/>
      <protection hidden="1"/>
    </xf>
    <xf numFmtId="0" fontId="1" fillId="0" borderId="32" xfId="1" applyFont="1" applyBorder="1" applyAlignment="1" applyProtection="1">
      <alignment horizontal="left" vertical="center" wrapText="1" indent="1"/>
      <protection hidden="1"/>
    </xf>
    <xf numFmtId="0" fontId="1" fillId="0" borderId="34" xfId="1" applyFont="1" applyBorder="1" applyAlignment="1">
      <alignment horizontal="left" vertical="center" wrapText="1" indent="1"/>
    </xf>
    <xf numFmtId="0" fontId="29" fillId="6" borderId="4" xfId="1" applyFont="1" applyFill="1" applyBorder="1" applyAlignment="1" applyProtection="1">
      <alignment horizontal="center" vertical="center"/>
      <protection hidden="1"/>
    </xf>
    <xf numFmtId="0" fontId="29" fillId="6" borderId="4" xfId="0" applyFont="1" applyFill="1" applyBorder="1" applyAlignment="1">
      <alignment horizontal="center" vertical="center"/>
    </xf>
    <xf numFmtId="0" fontId="0" fillId="0" borderId="32" xfId="1" applyFont="1" applyBorder="1" applyAlignment="1" applyProtection="1">
      <alignment horizontal="center" vertical="center" wrapText="1"/>
      <protection hidden="1"/>
    </xf>
    <xf numFmtId="0" fontId="0" fillId="0" borderId="32" xfId="0" applyBorder="1" applyAlignment="1">
      <alignment horizontal="center" vertical="center" wrapText="1"/>
    </xf>
    <xf numFmtId="0" fontId="0" fillId="0" borderId="33" xfId="0" applyBorder="1" applyAlignment="1">
      <alignment horizontal="center" vertical="center" wrapText="1"/>
    </xf>
    <xf numFmtId="0" fontId="0" fillId="0" borderId="34" xfId="0" applyBorder="1" applyAlignment="1">
      <alignment horizontal="center" vertical="center" wrapText="1"/>
    </xf>
    <xf numFmtId="0" fontId="0" fillId="0" borderId="4" xfId="1" applyFont="1" applyBorder="1" applyAlignment="1" applyProtection="1">
      <alignment horizontal="center" vertical="center" wrapText="1"/>
      <protection hidden="1"/>
    </xf>
    <xf numFmtId="0" fontId="0" fillId="0" borderId="4" xfId="0" applyBorder="1" applyAlignment="1">
      <alignment horizontal="center" vertical="center" wrapText="1"/>
    </xf>
    <xf numFmtId="0" fontId="32" fillId="0" borderId="1" xfId="0" applyFont="1" applyBorder="1" applyAlignment="1">
      <alignment horizontal="left" vertical="center" wrapText="1" indent="1"/>
    </xf>
    <xf numFmtId="0" fontId="32" fillId="0" borderId="2" xfId="0" applyFont="1" applyBorder="1" applyAlignment="1">
      <alignment horizontal="left" vertical="center" wrapText="1" indent="1"/>
    </xf>
    <xf numFmtId="0" fontId="32" fillId="0" borderId="3" xfId="0" applyFont="1" applyBorder="1" applyAlignment="1">
      <alignment horizontal="left" vertical="center" wrapText="1" indent="1"/>
    </xf>
    <xf numFmtId="0" fontId="29" fillId="6" borderId="1" xfId="1" applyFont="1" applyFill="1" applyBorder="1" applyAlignment="1" applyProtection="1">
      <alignment horizontal="left" vertical="center" wrapText="1" indent="1"/>
      <protection hidden="1"/>
    </xf>
    <xf numFmtId="0" fontId="0" fillId="0" borderId="2" xfId="0" applyBorder="1" applyAlignment="1">
      <alignment horizontal="left" vertical="center" wrapText="1" indent="1"/>
    </xf>
    <xf numFmtId="0" fontId="0" fillId="0" borderId="3" xfId="0" applyBorder="1" applyAlignment="1">
      <alignment horizontal="left" vertical="center" wrapText="1" indent="1"/>
    </xf>
    <xf numFmtId="0" fontId="0" fillId="0" borderId="8" xfId="1" applyFont="1" applyBorder="1" applyAlignment="1" applyProtection="1">
      <alignment horizontal="left" vertical="center" wrapText="1" indent="1"/>
      <protection hidden="1"/>
    </xf>
    <xf numFmtId="0" fontId="0" fillId="0" borderId="9" xfId="0" applyBorder="1" applyAlignment="1">
      <alignment horizontal="left" vertical="center" wrapText="1" indent="1"/>
    </xf>
    <xf numFmtId="0" fontId="0" fillId="0" borderId="10" xfId="0" applyBorder="1" applyAlignment="1">
      <alignment horizontal="left" vertical="center" wrapText="1" indent="1"/>
    </xf>
    <xf numFmtId="0" fontId="0" fillId="0" borderId="18" xfId="0" applyBorder="1" applyAlignment="1">
      <alignment horizontal="left" vertical="center" wrapText="1" indent="1"/>
    </xf>
    <xf numFmtId="0" fontId="0" fillId="0" borderId="19" xfId="0" applyBorder="1" applyAlignment="1">
      <alignment horizontal="left" vertical="center" wrapText="1" indent="1"/>
    </xf>
    <xf numFmtId="0" fontId="0" fillId="0" borderId="20" xfId="0" applyBorder="1" applyAlignment="1">
      <alignment horizontal="left" vertical="center" wrapText="1" indent="1"/>
    </xf>
    <xf numFmtId="0" fontId="0" fillId="0" borderId="11" xfId="0" applyBorder="1" applyAlignment="1">
      <alignment horizontal="left" vertical="center" wrapText="1" indent="1"/>
    </xf>
    <xf numFmtId="0" fontId="0" fillId="0" borderId="0" xfId="0" applyAlignment="1">
      <alignment horizontal="left" vertical="center" wrapText="1" indent="1"/>
    </xf>
    <xf numFmtId="0" fontId="0" fillId="0" borderId="12" xfId="0" applyBorder="1" applyAlignment="1">
      <alignment horizontal="left" vertical="center" wrapText="1" indent="1"/>
    </xf>
    <xf numFmtId="0" fontId="29" fillId="6" borderId="1" xfId="0" applyFont="1" applyFill="1" applyBorder="1" applyAlignment="1">
      <alignment horizontal="left" vertical="center" wrapText="1" indent="1"/>
    </xf>
    <xf numFmtId="0" fontId="29" fillId="6" borderId="2" xfId="0" applyFont="1" applyFill="1" applyBorder="1" applyAlignment="1">
      <alignment horizontal="left" vertical="center" wrapText="1" indent="1"/>
    </xf>
    <xf numFmtId="0" fontId="0" fillId="0" borderId="1" xfId="0" applyBorder="1" applyAlignment="1">
      <alignment horizontal="left" vertical="center" wrapText="1" indent="1"/>
    </xf>
    <xf numFmtId="167" fontId="6" fillId="2" borderId="4" xfId="1" applyNumberFormat="1" applyFont="1" applyFill="1" applyBorder="1" applyAlignment="1" applyProtection="1">
      <alignment horizontal="left" indent="1"/>
      <protection locked="0"/>
    </xf>
    <xf numFmtId="167" fontId="7" fillId="2" borderId="4" xfId="1" applyNumberFormat="1" applyFont="1" applyFill="1" applyBorder="1" applyAlignment="1" applyProtection="1">
      <alignment horizontal="left" indent="1"/>
      <protection locked="0"/>
    </xf>
    <xf numFmtId="175" fontId="6" fillId="0" borderId="0" xfId="1" applyNumberFormat="1" applyFont="1" applyAlignment="1" applyProtection="1">
      <alignment horizontal="left" indent="1"/>
      <protection hidden="1"/>
    </xf>
    <xf numFmtId="0" fontId="2" fillId="0" borderId="0" xfId="1" applyAlignment="1">
      <alignment horizontal="left" indent="1"/>
    </xf>
    <xf numFmtId="167" fontId="6" fillId="0" borderId="0" xfId="1" applyNumberFormat="1" applyFont="1" applyAlignment="1">
      <alignment horizontal="left" indent="1"/>
    </xf>
    <xf numFmtId="167" fontId="7" fillId="0" borderId="0" xfId="1" applyNumberFormat="1" applyFont="1" applyAlignment="1">
      <alignment horizontal="left" indent="1"/>
    </xf>
    <xf numFmtId="167" fontId="6" fillId="0" borderId="0" xfId="1" applyNumberFormat="1" applyFont="1" applyAlignment="1" applyProtection="1">
      <alignment horizontal="left" indent="1"/>
      <protection hidden="1"/>
    </xf>
    <xf numFmtId="167" fontId="7" fillId="0" borderId="0" xfId="1" applyNumberFormat="1" applyFont="1" applyAlignment="1" applyProtection="1">
      <alignment horizontal="left" indent="1"/>
      <protection hidden="1"/>
    </xf>
    <xf numFmtId="0" fontId="2" fillId="0" borderId="0" xfId="1" applyAlignment="1" applyProtection="1">
      <alignment horizontal="left" indent="1"/>
      <protection hidden="1"/>
    </xf>
    <xf numFmtId="172" fontId="6" fillId="0" borderId="0" xfId="1" applyNumberFormat="1" applyFont="1" applyAlignment="1" applyProtection="1">
      <alignment horizontal="left" indent="1"/>
      <protection hidden="1"/>
    </xf>
    <xf numFmtId="172" fontId="7" fillId="0" borderId="0" xfId="1" applyNumberFormat="1" applyFont="1" applyAlignment="1" applyProtection="1">
      <alignment horizontal="left" indent="1"/>
      <protection hidden="1"/>
    </xf>
    <xf numFmtId="172" fontId="2" fillId="0" borderId="0" xfId="1" applyNumberFormat="1" applyAlignment="1" applyProtection="1">
      <alignment horizontal="left" indent="1"/>
      <protection hidden="1"/>
    </xf>
    <xf numFmtId="0" fontId="11" fillId="0" borderId="0" xfId="1" applyFont="1" applyAlignment="1" applyProtection="1">
      <alignment horizontal="center"/>
      <protection hidden="1"/>
    </xf>
    <xf numFmtId="0" fontId="2" fillId="0" borderId="0" xfId="1" applyAlignment="1">
      <alignment horizontal="center"/>
    </xf>
    <xf numFmtId="0" fontId="6" fillId="0" borderId="8" xfId="1" applyFont="1" applyBorder="1" applyAlignment="1" applyProtection="1">
      <alignment horizontal="center" vertical="center"/>
      <protection hidden="1"/>
    </xf>
    <xf numFmtId="0" fontId="7" fillId="0" borderId="9" xfId="1" applyFont="1" applyBorder="1" applyAlignment="1" applyProtection="1">
      <alignment horizontal="center" vertical="center"/>
      <protection hidden="1"/>
    </xf>
    <xf numFmtId="0" fontId="7" fillId="0" borderId="18" xfId="1" applyFont="1" applyBorder="1" applyAlignment="1" applyProtection="1">
      <alignment horizontal="center" vertical="center"/>
      <protection hidden="1"/>
    </xf>
    <xf numFmtId="0" fontId="7" fillId="0" borderId="19" xfId="1" applyFont="1" applyBorder="1" applyAlignment="1" applyProtection="1">
      <alignment horizontal="center" vertical="center"/>
      <protection hidden="1"/>
    </xf>
    <xf numFmtId="0" fontId="6" fillId="0" borderId="9" xfId="1" applyFont="1" applyBorder="1" applyAlignment="1" applyProtection="1">
      <alignment horizontal="center" vertical="center"/>
      <protection hidden="1"/>
    </xf>
    <xf numFmtId="0" fontId="6" fillId="0" borderId="9" xfId="1" applyFont="1" applyBorder="1" applyAlignment="1" applyProtection="1">
      <alignment horizontal="center"/>
      <protection hidden="1"/>
    </xf>
    <xf numFmtId="0" fontId="7" fillId="0" borderId="9" xfId="1" applyFont="1" applyBorder="1" applyAlignment="1" applyProtection="1">
      <alignment horizontal="center"/>
      <protection hidden="1"/>
    </xf>
    <xf numFmtId="0" fontId="7" fillId="0" borderId="10" xfId="1" applyFont="1" applyBorder="1" applyAlignment="1" applyProtection="1">
      <alignment horizontal="center"/>
      <protection hidden="1"/>
    </xf>
    <xf numFmtId="0" fontId="6" fillId="0" borderId="19" xfId="1" applyFont="1" applyBorder="1" applyAlignment="1" applyProtection="1">
      <alignment horizontal="center"/>
      <protection hidden="1"/>
    </xf>
    <xf numFmtId="0" fontId="7" fillId="0" borderId="19" xfId="1" applyFont="1" applyBorder="1" applyAlignment="1" applyProtection="1">
      <alignment horizontal="center"/>
      <protection hidden="1"/>
    </xf>
    <xf numFmtId="0" fontId="7" fillId="0" borderId="20" xfId="1" applyFont="1" applyBorder="1" applyAlignment="1" applyProtection="1">
      <alignment horizontal="center"/>
      <protection hidden="1"/>
    </xf>
    <xf numFmtId="164" fontId="3" fillId="0" borderId="4" xfId="1" applyNumberFormat="1" applyFont="1" applyBorder="1" applyAlignment="1" applyProtection="1">
      <alignment horizontal="center" vertical="center"/>
      <protection hidden="1"/>
    </xf>
    <xf numFmtId="167" fontId="6" fillId="0" borderId="4" xfId="1" applyNumberFormat="1" applyFont="1" applyBorder="1" applyAlignment="1">
      <alignment horizontal="left" indent="1"/>
    </xf>
    <xf numFmtId="167" fontId="7" fillId="0" borderId="4" xfId="1" applyNumberFormat="1" applyFont="1" applyBorder="1" applyAlignment="1">
      <alignment horizontal="left" indent="1"/>
    </xf>
    <xf numFmtId="165" fontId="6" fillId="0" borderId="4" xfId="1" applyNumberFormat="1" applyFont="1" applyBorder="1" applyAlignment="1">
      <alignment horizontal="left" indent="1"/>
    </xf>
    <xf numFmtId="165" fontId="7" fillId="0" borderId="4" xfId="1" applyNumberFormat="1" applyFont="1" applyBorder="1" applyAlignment="1">
      <alignment horizontal="left" indent="1"/>
    </xf>
    <xf numFmtId="166" fontId="6" fillId="0" borderId="4" xfId="1" applyNumberFormat="1" applyFont="1" applyBorder="1" applyAlignment="1">
      <alignment horizontal="left" indent="1"/>
    </xf>
    <xf numFmtId="166" fontId="7" fillId="0" borderId="4" xfId="1" applyNumberFormat="1" applyFont="1" applyBorder="1" applyAlignment="1">
      <alignment horizontal="left" indent="1"/>
    </xf>
    <xf numFmtId="0" fontId="3" fillId="0" borderId="1" xfId="1" applyFont="1" applyBorder="1" applyProtection="1">
      <protection hidden="1"/>
    </xf>
    <xf numFmtId="0" fontId="3" fillId="0" borderId="2" xfId="1" applyFont="1" applyBorder="1" applyProtection="1">
      <protection hidden="1"/>
    </xf>
    <xf numFmtId="0" fontId="3" fillId="0" borderId="2" xfId="1" applyFont="1" applyBorder="1" applyAlignment="1" applyProtection="1">
      <alignment horizontal="center"/>
      <protection locked="0"/>
    </xf>
    <xf numFmtId="0" fontId="3" fillId="0" borderId="3" xfId="1" applyFont="1" applyBorder="1" applyAlignment="1" applyProtection="1">
      <alignment horizontal="center"/>
      <protection locked="0"/>
    </xf>
    <xf numFmtId="0" fontId="3" fillId="0" borderId="4" xfId="1" applyFont="1" applyBorder="1" applyAlignment="1" applyProtection="1">
      <alignment horizontal="center"/>
      <protection hidden="1"/>
    </xf>
    <xf numFmtId="0" fontId="3" fillId="3" borderId="4" xfId="1" applyFont="1" applyFill="1" applyBorder="1" applyAlignment="1" applyProtection="1">
      <alignment horizontal="center" vertical="center"/>
      <protection hidden="1"/>
    </xf>
    <xf numFmtId="164" fontId="3" fillId="0" borderId="4" xfId="1" applyNumberFormat="1" applyFont="1" applyBorder="1" applyAlignment="1" applyProtection="1">
      <alignment horizontal="center" vertical="center"/>
      <protection locked="0"/>
    </xf>
    <xf numFmtId="0" fontId="4" fillId="0" borderId="2" xfId="1" applyFont="1" applyBorder="1" applyProtection="1">
      <protection locked="0"/>
    </xf>
    <xf numFmtId="0" fontId="4" fillId="0" borderId="3" xfId="1" applyFont="1" applyBorder="1" applyProtection="1">
      <protection locked="0"/>
    </xf>
    <xf numFmtId="0" fontId="3" fillId="0" borderId="2" xfId="1" applyFont="1" applyBorder="1" applyProtection="1">
      <protection locked="0"/>
    </xf>
    <xf numFmtId="0" fontId="3" fillId="0" borderId="3" xfId="1" applyFont="1" applyBorder="1" applyProtection="1">
      <protection locked="0"/>
    </xf>
    <xf numFmtId="0" fontId="3" fillId="0" borderId="4" xfId="1" applyFont="1" applyBorder="1" applyAlignment="1" applyProtection="1">
      <alignment horizontal="center" vertical="center"/>
      <protection locked="0"/>
    </xf>
    <xf numFmtId="178" fontId="1" fillId="4" borderId="1" xfId="1" applyNumberFormat="1" applyFont="1" applyFill="1" applyBorder="1" applyAlignment="1" applyProtection="1">
      <alignment horizontal="left" vertical="center" indent="1"/>
      <protection locked="0"/>
    </xf>
    <xf numFmtId="178" fontId="0" fillId="4" borderId="2" xfId="0" applyNumberFormat="1" applyFill="1" applyBorder="1" applyAlignment="1" applyProtection="1">
      <alignment horizontal="left" vertical="center" indent="1"/>
      <protection locked="0"/>
    </xf>
    <xf numFmtId="178" fontId="0" fillId="4" borderId="3" xfId="0" applyNumberFormat="1" applyFill="1" applyBorder="1" applyAlignment="1" applyProtection="1">
      <alignment horizontal="left" vertical="center" indent="1"/>
      <protection locked="0"/>
    </xf>
    <xf numFmtId="170" fontId="1" fillId="4" borderId="1" xfId="1" applyNumberFormat="1" applyFont="1" applyFill="1" applyBorder="1" applyAlignment="1" applyProtection="1">
      <alignment horizontal="left" vertical="center" indent="1"/>
      <protection locked="0"/>
    </xf>
    <xf numFmtId="170" fontId="1" fillId="4" borderId="2" xfId="1" applyNumberFormat="1" applyFont="1" applyFill="1" applyBorder="1" applyAlignment="1" applyProtection="1">
      <alignment horizontal="left" vertical="center" indent="1"/>
      <protection locked="0"/>
    </xf>
    <xf numFmtId="170" fontId="1" fillId="4" borderId="3" xfId="1" applyNumberFormat="1" applyFont="1" applyFill="1" applyBorder="1" applyAlignment="1" applyProtection="1">
      <alignment horizontal="left" vertical="center" indent="1"/>
      <protection locked="0"/>
    </xf>
    <xf numFmtId="0" fontId="0" fillId="6" borderId="1" xfId="0" applyFill="1" applyBorder="1" applyAlignment="1">
      <alignment horizontal="left" vertical="center" indent="1"/>
    </xf>
    <xf numFmtId="0" fontId="0" fillId="0" borderId="2" xfId="0" applyBorder="1" applyAlignment="1">
      <alignment horizontal="left" vertical="center" indent="1"/>
    </xf>
    <xf numFmtId="0" fontId="0" fillId="0" borderId="3" xfId="0" applyBorder="1" applyAlignment="1">
      <alignment horizontal="left" vertical="center" indent="1"/>
    </xf>
    <xf numFmtId="169" fontId="0" fillId="5" borderId="1" xfId="1" applyNumberFormat="1" applyFont="1" applyFill="1" applyBorder="1" applyAlignment="1" applyProtection="1">
      <alignment horizontal="left" vertical="center" indent="1"/>
      <protection locked="0"/>
    </xf>
    <xf numFmtId="0" fontId="0" fillId="5" borderId="2" xfId="0" applyFill="1" applyBorder="1" applyAlignment="1" applyProtection="1">
      <alignment horizontal="left" vertical="center" indent="1"/>
      <protection locked="0"/>
    </xf>
    <xf numFmtId="0" fontId="0" fillId="5" borderId="3" xfId="0" applyFill="1" applyBorder="1" applyAlignment="1" applyProtection="1">
      <alignment horizontal="left" vertical="center" indent="1"/>
      <protection locked="0"/>
    </xf>
    <xf numFmtId="169" fontId="0" fillId="0" borderId="1" xfId="1" applyNumberFormat="1" applyFont="1" applyFill="1" applyBorder="1" applyAlignment="1" applyProtection="1">
      <alignment horizontal="left" vertical="center" indent="1"/>
      <protection hidden="1"/>
    </xf>
    <xf numFmtId="0" fontId="0" fillId="0" borderId="2" xfId="0" applyFill="1" applyBorder="1" applyAlignment="1" applyProtection="1">
      <alignment horizontal="left" vertical="center" indent="1"/>
      <protection hidden="1"/>
    </xf>
    <xf numFmtId="0" fontId="0" fillId="0" borderId="3" xfId="0" applyFill="1" applyBorder="1" applyAlignment="1" applyProtection="1">
      <alignment horizontal="left" vertical="center" indent="1"/>
      <protection hidden="1"/>
    </xf>
    <xf numFmtId="0" fontId="0" fillId="6" borderId="4" xfId="1" applyFont="1" applyFill="1" applyBorder="1" applyAlignment="1" applyProtection="1">
      <alignment horizontal="center" vertical="center"/>
      <protection hidden="1"/>
    </xf>
    <xf numFmtId="0" fontId="0" fillId="6" borderId="4" xfId="0" applyFill="1" applyBorder="1" applyAlignment="1">
      <alignment horizontal="center" vertical="center"/>
    </xf>
    <xf numFmtId="0" fontId="1" fillId="4" borderId="4" xfId="1" applyFont="1" applyFill="1" applyBorder="1" applyAlignment="1" applyProtection="1">
      <alignment horizontal="center" vertical="center"/>
      <protection hidden="1"/>
    </xf>
    <xf numFmtId="0" fontId="0" fillId="4" borderId="4" xfId="0" applyFill="1" applyBorder="1" applyAlignment="1">
      <alignment horizontal="center" vertical="center"/>
    </xf>
    <xf numFmtId="167" fontId="0" fillId="5" borderId="1" xfId="0" applyNumberFormat="1" applyFill="1" applyBorder="1" applyAlignment="1" applyProtection="1">
      <alignment horizontal="left" vertical="center" indent="1"/>
      <protection locked="0"/>
    </xf>
    <xf numFmtId="167" fontId="0" fillId="5" borderId="2" xfId="0" applyNumberFormat="1" applyFill="1" applyBorder="1" applyAlignment="1" applyProtection="1">
      <alignment horizontal="left" vertical="center" indent="1"/>
      <protection locked="0"/>
    </xf>
    <xf numFmtId="0" fontId="0" fillId="0" borderId="3" xfId="0" applyBorder="1" applyAlignment="1" applyProtection="1">
      <alignment horizontal="left" vertical="center" indent="1"/>
      <protection locked="0"/>
    </xf>
    <xf numFmtId="167" fontId="0" fillId="0" borderId="1" xfId="0" applyNumberFormat="1" applyBorder="1" applyAlignment="1" applyProtection="1">
      <alignment horizontal="left" vertical="center" indent="1"/>
      <protection hidden="1"/>
    </xf>
    <xf numFmtId="167" fontId="0" fillId="0" borderId="2" xfId="0" applyNumberFormat="1" applyBorder="1" applyAlignment="1" applyProtection="1">
      <alignment horizontal="left" vertical="center" indent="1"/>
      <protection hidden="1"/>
    </xf>
    <xf numFmtId="0" fontId="0" fillId="0" borderId="3" xfId="0" applyBorder="1" applyAlignment="1" applyProtection="1">
      <alignment horizontal="left" vertical="center" indent="1"/>
      <protection hidden="1"/>
    </xf>
    <xf numFmtId="182" fontId="1" fillId="4" borderId="1" xfId="1" applyNumberFormat="1" applyFont="1" applyFill="1" applyBorder="1" applyAlignment="1" applyProtection="1">
      <alignment horizontal="left" vertical="center" indent="1"/>
      <protection locked="0"/>
    </xf>
    <xf numFmtId="182" fontId="0" fillId="4" borderId="2" xfId="0" applyNumberFormat="1" applyFill="1" applyBorder="1" applyAlignment="1" applyProtection="1">
      <alignment horizontal="left" vertical="center" indent="1"/>
      <protection locked="0"/>
    </xf>
    <xf numFmtId="182" fontId="0" fillId="4" borderId="3" xfId="0" applyNumberFormat="1" applyFill="1" applyBorder="1" applyAlignment="1" applyProtection="1">
      <alignment horizontal="left" vertical="center" indent="1"/>
      <protection locked="0"/>
    </xf>
    <xf numFmtId="2" fontId="1" fillId="4" borderId="1" xfId="1" applyNumberFormat="1" applyFont="1" applyFill="1" applyBorder="1" applyAlignment="1" applyProtection="1">
      <alignment horizontal="left" vertical="center" indent="1"/>
      <protection locked="0"/>
    </xf>
    <xf numFmtId="2" fontId="0" fillId="4" borderId="2" xfId="0" applyNumberFormat="1" applyFill="1" applyBorder="1" applyAlignment="1" applyProtection="1">
      <alignment horizontal="left" vertical="center" indent="1"/>
      <protection locked="0"/>
    </xf>
    <xf numFmtId="2" fontId="0" fillId="4" borderId="3" xfId="0" applyNumberFormat="1" applyFill="1" applyBorder="1" applyAlignment="1" applyProtection="1">
      <alignment horizontal="left" vertical="center" indent="1"/>
      <protection locked="0"/>
    </xf>
    <xf numFmtId="170" fontId="1" fillId="0" borderId="1" xfId="1" applyNumberFormat="1" applyFont="1" applyBorder="1" applyAlignment="1" applyProtection="1">
      <alignment horizontal="left" vertical="center" indent="1"/>
      <protection hidden="1"/>
    </xf>
    <xf numFmtId="170" fontId="0" fillId="0" borderId="2" xfId="0" applyNumberFormat="1" applyBorder="1" applyAlignment="1" applyProtection="1">
      <alignment horizontal="left" vertical="center" indent="1"/>
      <protection hidden="1"/>
    </xf>
    <xf numFmtId="170" fontId="0" fillId="0" borderId="3" xfId="0" applyNumberFormat="1" applyBorder="1" applyAlignment="1" applyProtection="1">
      <alignment horizontal="left" vertical="center" indent="1"/>
      <protection hidden="1"/>
    </xf>
    <xf numFmtId="170" fontId="1" fillId="5" borderId="1" xfId="1" applyNumberFormat="1" applyFont="1" applyFill="1" applyBorder="1" applyAlignment="1" applyProtection="1">
      <alignment horizontal="left" vertical="center" indent="1"/>
      <protection locked="0"/>
    </xf>
    <xf numFmtId="170" fontId="0" fillId="5" borderId="2" xfId="0" applyNumberFormat="1" applyFill="1" applyBorder="1" applyAlignment="1" applyProtection="1">
      <alignment horizontal="left" vertical="center" indent="1"/>
      <protection locked="0"/>
    </xf>
    <xf numFmtId="170" fontId="0" fillId="5" borderId="3" xfId="0" applyNumberFormat="1" applyFill="1" applyBorder="1" applyAlignment="1" applyProtection="1">
      <alignment horizontal="left" vertical="center" indent="1"/>
      <protection locked="0"/>
    </xf>
    <xf numFmtId="181" fontId="1" fillId="0" borderId="1" xfId="1" applyNumberFormat="1" applyFont="1" applyBorder="1" applyAlignment="1" applyProtection="1">
      <alignment horizontal="left" vertical="center" indent="1"/>
      <protection hidden="1"/>
    </xf>
    <xf numFmtId="181" fontId="0" fillId="0" borderId="2" xfId="0" applyNumberFormat="1" applyBorder="1" applyAlignment="1" applyProtection="1">
      <alignment horizontal="left" vertical="center" indent="1"/>
      <protection hidden="1"/>
    </xf>
    <xf numFmtId="181" fontId="0" fillId="0" borderId="3" xfId="0" applyNumberFormat="1" applyBorder="1" applyAlignment="1" applyProtection="1">
      <alignment horizontal="left" vertical="center" indent="1"/>
      <protection hidden="1"/>
    </xf>
    <xf numFmtId="178" fontId="1" fillId="0" borderId="1" xfId="1" applyNumberFormat="1" applyFont="1" applyBorder="1" applyAlignment="1" applyProtection="1">
      <alignment horizontal="left" vertical="center" indent="1"/>
      <protection hidden="1"/>
    </xf>
    <xf numFmtId="178" fontId="0" fillId="0" borderId="2" xfId="0" applyNumberFormat="1" applyBorder="1" applyAlignment="1" applyProtection="1">
      <alignment horizontal="left" vertical="center" indent="1"/>
      <protection hidden="1"/>
    </xf>
    <xf numFmtId="178" fontId="0" fillId="0" borderId="3" xfId="0" applyNumberFormat="1" applyBorder="1" applyAlignment="1" applyProtection="1">
      <alignment horizontal="left" vertical="center" indent="1"/>
      <protection hidden="1"/>
    </xf>
    <xf numFmtId="170" fontId="0" fillId="4" borderId="2" xfId="0" applyNumberFormat="1" applyFill="1" applyBorder="1" applyAlignment="1" applyProtection="1">
      <alignment horizontal="left" vertical="center" indent="1"/>
      <protection locked="0"/>
    </xf>
    <xf numFmtId="170" fontId="0" fillId="4" borderId="3" xfId="0" applyNumberFormat="1" applyFill="1" applyBorder="1" applyAlignment="1" applyProtection="1">
      <alignment horizontal="left" vertical="center" indent="1"/>
      <protection locked="0"/>
    </xf>
    <xf numFmtId="180" fontId="1" fillId="4" borderId="1" xfId="1" applyNumberFormat="1" applyFont="1" applyFill="1" applyBorder="1" applyAlignment="1" applyProtection="1">
      <alignment horizontal="left" vertical="center" indent="1"/>
      <protection locked="0"/>
    </xf>
    <xf numFmtId="180" fontId="1" fillId="4" borderId="2" xfId="1" applyNumberFormat="1" applyFont="1" applyFill="1" applyBorder="1" applyAlignment="1" applyProtection="1">
      <alignment horizontal="left" vertical="center" indent="1"/>
      <protection locked="0"/>
    </xf>
    <xf numFmtId="180" fontId="1" fillId="4" borderId="3" xfId="1" applyNumberFormat="1" applyFont="1" applyFill="1" applyBorder="1" applyAlignment="1" applyProtection="1">
      <alignment horizontal="left" vertical="center" indent="1"/>
      <protection locked="0"/>
    </xf>
    <xf numFmtId="177" fontId="1" fillId="0" borderId="2" xfId="1" applyNumberFormat="1" applyFont="1" applyBorder="1" applyAlignment="1" applyProtection="1">
      <alignment horizontal="left" vertical="center" indent="1"/>
      <protection hidden="1"/>
    </xf>
    <xf numFmtId="0" fontId="0" fillId="5" borderId="1" xfId="1" applyFont="1" applyFill="1" applyBorder="1" applyAlignment="1" applyProtection="1">
      <alignment horizontal="center" vertical="center"/>
      <protection locked="0"/>
    </xf>
    <xf numFmtId="0" fontId="0" fillId="5" borderId="2" xfId="1" applyFont="1" applyFill="1" applyBorder="1" applyAlignment="1" applyProtection="1">
      <alignment horizontal="center" vertical="center"/>
      <protection locked="0"/>
    </xf>
    <xf numFmtId="0" fontId="0" fillId="5" borderId="3" xfId="1" applyFont="1" applyFill="1" applyBorder="1" applyAlignment="1" applyProtection="1">
      <alignment horizontal="center" vertical="center"/>
      <protection locked="0"/>
    </xf>
    <xf numFmtId="169" fontId="0" fillId="5" borderId="1" xfId="1" applyNumberFormat="1" applyFont="1" applyFill="1" applyBorder="1" applyAlignment="1" applyProtection="1">
      <alignment horizontal="center" vertical="center"/>
      <protection locked="0"/>
    </xf>
    <xf numFmtId="0" fontId="0" fillId="5" borderId="2" xfId="0" applyFill="1" applyBorder="1" applyAlignment="1" applyProtection="1">
      <alignment horizontal="center" vertical="center"/>
      <protection locked="0"/>
    </xf>
    <xf numFmtId="0" fontId="0" fillId="5" borderId="3" xfId="0" applyFill="1" applyBorder="1" applyAlignment="1" applyProtection="1">
      <alignment horizontal="center" vertical="center"/>
      <protection locked="0"/>
    </xf>
    <xf numFmtId="0" fontId="1" fillId="0" borderId="2" xfId="1" applyFont="1" applyBorder="1" applyAlignment="1" applyProtection="1">
      <alignment vertical="center"/>
      <protection locked="0"/>
    </xf>
    <xf numFmtId="0" fontId="1" fillId="0" borderId="3" xfId="1" applyFont="1" applyBorder="1" applyAlignment="1" applyProtection="1">
      <alignment vertical="center"/>
      <protection locked="0"/>
    </xf>
    <xf numFmtId="0" fontId="1" fillId="0" borderId="2" xfId="1" applyFont="1" applyBorder="1" applyAlignment="1" applyProtection="1">
      <alignment horizontal="center" vertical="center"/>
      <protection locked="0"/>
    </xf>
    <xf numFmtId="0" fontId="1" fillId="0" borderId="3" xfId="1" applyFont="1" applyBorder="1" applyAlignment="1" applyProtection="1">
      <alignment horizontal="center" vertical="center"/>
      <protection locked="0"/>
    </xf>
    <xf numFmtId="0" fontId="1" fillId="0" borderId="4" xfId="1" applyFont="1" applyBorder="1" applyAlignment="1" applyProtection="1">
      <alignment horizontal="center" vertical="center"/>
      <protection locked="0"/>
    </xf>
    <xf numFmtId="0" fontId="16" fillId="0" borderId="2" xfId="1" applyFont="1" applyBorder="1" applyAlignment="1" applyProtection="1">
      <alignment vertical="center"/>
      <protection locked="0"/>
    </xf>
    <xf numFmtId="0" fontId="16" fillId="0" borderId="3" xfId="1" applyFont="1" applyBorder="1" applyAlignment="1" applyProtection="1">
      <alignment vertical="center"/>
      <protection locked="0"/>
    </xf>
    <xf numFmtId="0" fontId="1" fillId="3" borderId="1" xfId="1" applyFont="1" applyFill="1" applyBorder="1" applyAlignment="1" applyProtection="1">
      <alignment horizontal="center" vertical="center"/>
      <protection hidden="1"/>
    </xf>
    <xf numFmtId="0" fontId="0" fillId="0" borderId="2" xfId="1" applyFont="1" applyBorder="1" applyAlignment="1" applyProtection="1">
      <alignment vertical="center"/>
      <protection locked="0"/>
    </xf>
    <xf numFmtId="164" fontId="1" fillId="0" borderId="4" xfId="1" applyNumberFormat="1" applyFont="1" applyBorder="1" applyAlignment="1" applyProtection="1">
      <alignment horizontal="center" vertical="center"/>
      <protection locked="0"/>
    </xf>
    <xf numFmtId="169" fontId="0" fillId="5" borderId="4" xfId="1" applyNumberFormat="1" applyFont="1" applyFill="1" applyBorder="1" applyAlignment="1" applyProtection="1">
      <alignment horizontal="left" vertical="center" indent="1"/>
      <protection locked="0"/>
    </xf>
    <xf numFmtId="0" fontId="0" fillId="5" borderId="4" xfId="0" applyFill="1" applyBorder="1" applyAlignment="1" applyProtection="1">
      <alignment horizontal="left" vertical="center" indent="1"/>
      <protection locked="0"/>
    </xf>
    <xf numFmtId="0" fontId="1" fillId="5" borderId="1" xfId="1" applyFont="1" applyFill="1" applyBorder="1" applyAlignment="1" applyProtection="1">
      <alignment horizontal="left" vertical="center" indent="1"/>
      <protection locked="0"/>
    </xf>
    <xf numFmtId="177" fontId="0" fillId="0" borderId="2" xfId="0" applyNumberFormat="1" applyBorder="1" applyAlignment="1" applyProtection="1">
      <alignment horizontal="left" vertical="center" indent="1"/>
      <protection hidden="1"/>
    </xf>
    <xf numFmtId="177" fontId="0" fillId="0" borderId="3" xfId="0" applyNumberFormat="1" applyBorder="1" applyAlignment="1" applyProtection="1">
      <alignment horizontal="left" vertical="center" indent="1"/>
      <protection hidden="1"/>
    </xf>
    <xf numFmtId="179" fontId="1" fillId="5" borderId="1" xfId="1" applyNumberFormat="1" applyFont="1" applyFill="1" applyBorder="1" applyAlignment="1" applyProtection="1">
      <alignment horizontal="left" vertical="center" indent="1"/>
      <protection locked="0"/>
    </xf>
    <xf numFmtId="179" fontId="0" fillId="5" borderId="2" xfId="0" applyNumberFormat="1" applyFill="1" applyBorder="1" applyAlignment="1" applyProtection="1">
      <alignment horizontal="left" vertical="center" indent="1"/>
      <protection locked="0"/>
    </xf>
    <xf numFmtId="179" fontId="0" fillId="5" borderId="3" xfId="0" applyNumberFormat="1" applyFill="1" applyBorder="1" applyAlignment="1" applyProtection="1">
      <alignment horizontal="left" vertical="center" indent="1"/>
      <protection locked="0"/>
    </xf>
    <xf numFmtId="179" fontId="1" fillId="4" borderId="1" xfId="1" applyNumberFormat="1" applyFont="1" applyFill="1" applyBorder="1" applyAlignment="1" applyProtection="1">
      <alignment horizontal="left" vertical="center" indent="1"/>
      <protection locked="0"/>
    </xf>
    <xf numFmtId="179" fontId="0" fillId="4" borderId="2" xfId="0" applyNumberFormat="1" applyFill="1" applyBorder="1" applyAlignment="1" applyProtection="1">
      <alignment horizontal="left" vertical="center" indent="1"/>
      <protection locked="0"/>
    </xf>
    <xf numFmtId="179" fontId="0" fillId="4" borderId="3" xfId="0" applyNumberFormat="1" applyFill="1" applyBorder="1" applyAlignment="1" applyProtection="1">
      <alignment horizontal="left" vertical="center" indent="1"/>
      <protection locked="0"/>
    </xf>
    <xf numFmtId="0" fontId="0" fillId="0" borderId="4" xfId="1" applyFont="1" applyBorder="1" applyAlignment="1" applyProtection="1">
      <alignment horizontal="center" vertical="center"/>
      <protection hidden="1"/>
    </xf>
    <xf numFmtId="0" fontId="0" fillId="0" borderId="4" xfId="0" applyBorder="1" applyAlignment="1" applyProtection="1">
      <alignment horizontal="center" vertical="center"/>
      <protection hidden="1"/>
    </xf>
    <xf numFmtId="0" fontId="0" fillId="5" borderId="1" xfId="1" applyFont="1" applyFill="1" applyBorder="1" applyAlignment="1" applyProtection="1">
      <alignment horizontal="left" vertical="center" indent="1"/>
      <protection locked="0"/>
    </xf>
    <xf numFmtId="0" fontId="0" fillId="5" borderId="2" xfId="1" applyFont="1" applyFill="1" applyBorder="1" applyAlignment="1" applyProtection="1">
      <alignment horizontal="left" vertical="center" indent="1"/>
      <protection locked="0"/>
    </xf>
    <xf numFmtId="0" fontId="0" fillId="5" borderId="3" xfId="1" applyFont="1" applyFill="1" applyBorder="1" applyAlignment="1" applyProtection="1">
      <alignment horizontal="left" vertical="center" indent="1"/>
      <protection locked="0"/>
    </xf>
    <xf numFmtId="169" fontId="0" fillId="5" borderId="2" xfId="1" applyNumberFormat="1" applyFont="1" applyFill="1" applyBorder="1" applyAlignment="1" applyProtection="1">
      <alignment horizontal="center" vertical="center"/>
      <protection locked="0"/>
    </xf>
    <xf numFmtId="169" fontId="0" fillId="5" borderId="3" xfId="1" applyNumberFormat="1" applyFont="1" applyFill="1" applyBorder="1" applyAlignment="1" applyProtection="1">
      <alignment horizontal="center" vertical="center"/>
      <protection locked="0"/>
    </xf>
    <xf numFmtId="0" fontId="0" fillId="6" borderId="4" xfId="1" applyFont="1" applyFill="1" applyBorder="1" applyAlignment="1" applyProtection="1">
      <alignment horizontal="left" vertical="center" indent="1"/>
      <protection hidden="1"/>
    </xf>
    <xf numFmtId="0" fontId="0" fillId="6" borderId="4" xfId="0" applyFill="1" applyBorder="1" applyAlignment="1">
      <alignment horizontal="left" vertical="center" indent="1"/>
    </xf>
    <xf numFmtId="0" fontId="0" fillId="6" borderId="1" xfId="1" applyFont="1" applyFill="1" applyBorder="1" applyAlignment="1" applyProtection="1">
      <alignment horizontal="center" vertical="center"/>
      <protection hidden="1"/>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left" vertical="center" indent="1"/>
    </xf>
    <xf numFmtId="0" fontId="0" fillId="0" borderId="4" xfId="0" applyBorder="1" applyAlignment="1">
      <alignment horizontal="center" vertical="center"/>
    </xf>
    <xf numFmtId="0" fontId="0" fillId="0" borderId="4" xfId="1" applyFont="1" applyFill="1" applyBorder="1" applyAlignment="1" applyProtection="1">
      <alignment horizontal="center" vertical="center"/>
      <protection hidden="1"/>
    </xf>
    <xf numFmtId="0" fontId="0" fillId="0" borderId="4" xfId="0" applyFill="1" applyBorder="1" applyAlignment="1" applyProtection="1">
      <alignment horizontal="center" vertical="center"/>
      <protection hidden="1"/>
    </xf>
    <xf numFmtId="0" fontId="0" fillId="0" borderId="4" xfId="1" applyFont="1" applyFill="1" applyBorder="1" applyAlignment="1" applyProtection="1">
      <alignment horizontal="left" vertical="center" indent="1"/>
      <protection hidden="1"/>
    </xf>
    <xf numFmtId="0" fontId="0" fillId="0" borderId="4" xfId="0" applyFill="1" applyBorder="1" applyAlignment="1" applyProtection="1">
      <alignment horizontal="left" vertical="center" indent="1"/>
      <protection hidden="1"/>
    </xf>
    <xf numFmtId="169" fontId="0" fillId="0" borderId="4" xfId="1" applyNumberFormat="1" applyFont="1" applyFill="1" applyBorder="1" applyAlignment="1" applyProtection="1">
      <alignment horizontal="center" vertical="center"/>
      <protection hidden="1"/>
    </xf>
    <xf numFmtId="169" fontId="0" fillId="0" borderId="4" xfId="0" applyNumberFormat="1" applyFill="1" applyBorder="1" applyAlignment="1" applyProtection="1">
      <alignment horizontal="center" vertical="center"/>
      <protection hidden="1"/>
    </xf>
    <xf numFmtId="169" fontId="0" fillId="0" borderId="1" xfId="1" applyNumberFormat="1" applyFont="1" applyFill="1" applyBorder="1" applyAlignment="1" applyProtection="1">
      <alignment horizontal="center" vertical="center"/>
      <protection hidden="1"/>
    </xf>
    <xf numFmtId="0" fontId="0" fillId="0" borderId="2" xfId="0" applyFill="1" applyBorder="1" applyAlignment="1" applyProtection="1">
      <alignment horizontal="center" vertical="center"/>
      <protection hidden="1"/>
    </xf>
    <xf numFmtId="0" fontId="0" fillId="0" borderId="3" xfId="0" applyFill="1" applyBorder="1" applyAlignment="1" applyProtection="1">
      <alignment horizontal="center" vertical="center"/>
      <protection hidden="1"/>
    </xf>
    <xf numFmtId="169" fontId="0" fillId="0" borderId="4" xfId="1" applyNumberFormat="1" applyFont="1" applyFill="1" applyBorder="1" applyAlignment="1" applyProtection="1">
      <alignment horizontal="left" vertical="center" indent="1"/>
      <protection hidden="1"/>
    </xf>
    <xf numFmtId="0" fontId="0" fillId="5" borderId="4" xfId="1" applyFont="1" applyFill="1" applyBorder="1" applyAlignment="1" applyProtection="1">
      <alignment horizontal="left" vertical="center" indent="1"/>
      <protection locked="0"/>
    </xf>
    <xf numFmtId="169" fontId="0" fillId="5" borderId="4" xfId="1" applyNumberFormat="1" applyFont="1" applyFill="1" applyBorder="1" applyAlignment="1" applyProtection="1">
      <alignment horizontal="center" vertical="center"/>
      <protection locked="0"/>
    </xf>
    <xf numFmtId="169" fontId="0" fillId="5" borderId="4" xfId="0" applyNumberFormat="1" applyFill="1" applyBorder="1" applyAlignment="1" applyProtection="1">
      <alignment horizontal="center" vertical="center"/>
      <protection locked="0"/>
    </xf>
    <xf numFmtId="0" fontId="0" fillId="5" borderId="4" xfId="1" applyFont="1" applyFill="1" applyBorder="1" applyAlignment="1" applyProtection="1">
      <alignment horizontal="center" vertical="center"/>
      <protection locked="0"/>
    </xf>
    <xf numFmtId="0" fontId="0" fillId="5" borderId="4" xfId="0" applyFill="1" applyBorder="1" applyAlignment="1" applyProtection="1">
      <alignment horizontal="center" vertical="center"/>
      <protection locked="0"/>
    </xf>
    <xf numFmtId="0" fontId="0" fillId="6" borderId="1" xfId="1" applyFont="1" applyFill="1" applyBorder="1" applyAlignment="1" applyProtection="1">
      <alignment horizontal="left" vertical="center" indent="1"/>
      <protection hidden="1"/>
    </xf>
    <xf numFmtId="0" fontId="0" fillId="6" borderId="4" xfId="0" applyFill="1" applyBorder="1" applyAlignment="1" applyProtection="1">
      <alignment horizontal="center" vertical="center"/>
      <protection hidden="1"/>
    </xf>
    <xf numFmtId="169" fontId="0" fillId="0" borderId="4" xfId="1" applyNumberFormat="1" applyFont="1" applyBorder="1" applyAlignment="1" applyProtection="1">
      <alignment horizontal="center" vertical="center"/>
      <protection hidden="1"/>
    </xf>
    <xf numFmtId="0" fontId="0" fillId="0" borderId="1" xfId="1" applyFont="1" applyBorder="1" applyAlignment="1" applyProtection="1">
      <alignment horizontal="center" vertical="center"/>
      <protection hidden="1"/>
    </xf>
    <xf numFmtId="0" fontId="0" fillId="0" borderId="2" xfId="1" applyFont="1" applyBorder="1" applyAlignment="1" applyProtection="1">
      <alignment horizontal="center" vertical="center"/>
      <protection hidden="1"/>
    </xf>
    <xf numFmtId="0" fontId="0" fillId="0" borderId="3" xfId="1" applyFont="1" applyBorder="1" applyAlignment="1" applyProtection="1">
      <alignment horizontal="center" vertical="center"/>
      <protection hidden="1"/>
    </xf>
    <xf numFmtId="0" fontId="0" fillId="6" borderId="2" xfId="0" applyFill="1" applyBorder="1" applyAlignment="1">
      <alignment horizontal="left" vertical="center" indent="1"/>
    </xf>
    <xf numFmtId="0" fontId="0" fillId="0" borderId="1" xfId="1" applyFont="1" applyBorder="1" applyAlignment="1" applyProtection="1">
      <alignment horizontal="left" vertical="center" indent="1"/>
      <protection hidden="1"/>
    </xf>
    <xf numFmtId="0" fontId="0" fillId="0" borderId="2" xfId="1" applyFont="1" applyBorder="1" applyAlignment="1" applyProtection="1">
      <alignment horizontal="left" vertical="center" indent="1"/>
      <protection hidden="1"/>
    </xf>
    <xf numFmtId="0" fontId="0" fillId="0" borderId="2" xfId="0" applyBorder="1" applyAlignment="1" applyProtection="1">
      <alignment horizontal="left" vertical="center" indent="1"/>
      <protection hidden="1"/>
    </xf>
    <xf numFmtId="169" fontId="0" fillId="0" borderId="1" xfId="1" applyNumberFormat="1" applyFont="1" applyBorder="1" applyAlignment="1" applyProtection="1">
      <alignment horizontal="center" vertical="center"/>
      <protection hidden="1"/>
    </xf>
    <xf numFmtId="0" fontId="0" fillId="0" borderId="2" xfId="0" applyBorder="1" applyAlignment="1" applyProtection="1">
      <alignment horizontal="center" vertical="center"/>
      <protection hidden="1"/>
    </xf>
    <xf numFmtId="0" fontId="0" fillId="0" borderId="3" xfId="0" applyBorder="1" applyAlignment="1" applyProtection="1">
      <alignment horizontal="center" vertical="center"/>
      <protection hidden="1"/>
    </xf>
    <xf numFmtId="0" fontId="0" fillId="0" borderId="4" xfId="1" applyFont="1" applyBorder="1" applyAlignment="1" applyProtection="1">
      <alignment horizontal="left" vertical="center" indent="1"/>
      <protection hidden="1"/>
    </xf>
    <xf numFmtId="0" fontId="0" fillId="0" borderId="4" xfId="0" applyBorder="1" applyAlignment="1" applyProtection="1">
      <alignment horizontal="left" vertical="center" indent="1"/>
      <protection hidden="1"/>
    </xf>
    <xf numFmtId="0" fontId="0" fillId="0" borderId="3" xfId="1" applyFont="1" applyBorder="1" applyAlignment="1" applyProtection="1">
      <alignment horizontal="left" vertical="center" indent="1"/>
      <protection hidden="1"/>
    </xf>
    <xf numFmtId="169" fontId="0" fillId="0" borderId="4" xfId="1" applyNumberFormat="1" applyFont="1" applyBorder="1" applyAlignment="1" applyProtection="1">
      <alignment horizontal="left" vertical="center" indent="1"/>
      <protection hidden="1"/>
    </xf>
    <xf numFmtId="169" fontId="0" fillId="0" borderId="1" xfId="1" applyNumberFormat="1" applyFont="1" applyBorder="1" applyAlignment="1" applyProtection="1">
      <alignment horizontal="left" vertical="center" indent="1"/>
      <protection hidden="1"/>
    </xf>
    <xf numFmtId="185" fontId="0" fillId="5" borderId="1" xfId="1" applyNumberFormat="1" applyFont="1" applyFill="1" applyBorder="1" applyAlignment="1" applyProtection="1">
      <alignment horizontal="left" vertical="center" indent="1"/>
      <protection locked="0"/>
    </xf>
    <xf numFmtId="185" fontId="0" fillId="5" borderId="2" xfId="1" applyNumberFormat="1" applyFont="1" applyFill="1" applyBorder="1" applyAlignment="1" applyProtection="1">
      <alignment horizontal="left" vertical="center" indent="1"/>
      <protection locked="0"/>
    </xf>
    <xf numFmtId="169" fontId="0" fillId="0" borderId="2" xfId="1" applyNumberFormat="1" applyFont="1" applyBorder="1" applyAlignment="1" applyProtection="1">
      <alignment horizontal="left" vertical="center" indent="1"/>
      <protection hidden="1"/>
    </xf>
    <xf numFmtId="169" fontId="0" fillId="0" borderId="3" xfId="1" applyNumberFormat="1" applyFont="1" applyBorder="1" applyAlignment="1" applyProtection="1">
      <alignment horizontal="left" vertical="center" indent="1"/>
      <protection hidden="1"/>
    </xf>
    <xf numFmtId="0" fontId="1" fillId="4" borderId="1" xfId="1" applyNumberFormat="1" applyFont="1" applyFill="1" applyBorder="1" applyAlignment="1" applyProtection="1">
      <alignment horizontal="left" vertical="center" indent="1"/>
      <protection locked="0"/>
    </xf>
    <xf numFmtId="0" fontId="1" fillId="4" borderId="2" xfId="1" applyNumberFormat="1" applyFont="1" applyFill="1" applyBorder="1" applyAlignment="1" applyProtection="1">
      <alignment horizontal="left" vertical="center" indent="1"/>
      <protection locked="0"/>
    </xf>
    <xf numFmtId="0" fontId="1" fillId="4" borderId="3" xfId="1" applyNumberFormat="1" applyFont="1" applyFill="1" applyBorder="1" applyAlignment="1" applyProtection="1">
      <alignment horizontal="left" vertical="center" indent="1"/>
      <protection locked="0"/>
    </xf>
  </cellXfs>
  <cellStyles count="12">
    <cellStyle name="Comma 2" xfId="2"/>
    <cellStyle name="Comma0" xfId="3"/>
    <cellStyle name="Currency0" xfId="4"/>
    <cellStyle name="Date" xfId="5"/>
    <cellStyle name="Fixed" xfId="6"/>
    <cellStyle name="Normal" xfId="0" builtinId="0"/>
    <cellStyle name="Normal 2" xfId="1"/>
    <cellStyle name="Normal 2 2" xfId="7"/>
    <cellStyle name="Normal 2 3" xfId="8"/>
    <cellStyle name="Normal 3" xfId="9"/>
    <cellStyle name="Normal 4" xfId="10"/>
    <cellStyle name="Normal 5" xfId="11"/>
  </cellStyles>
  <dxfs count="0"/>
  <tableStyles count="0" defaultTableStyle="TableStyleMedium2" defaultPivotStyle="PivotStyleLight16"/>
  <colors>
    <mruColors>
      <color rgb="FF9D9385"/>
      <color rgb="FFB7B56B"/>
      <color rgb="FFACAA56"/>
      <color rgb="FF666633"/>
      <color rgb="FFF2C4A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GBox" noThreeD="1"/>
</file>

<file path=xl/drawings/_rels/vmlDrawing1.vml.rels><?xml version="1.0" encoding="UTF-8" standalone="yes"?>
<Relationships xmlns="http://schemas.openxmlformats.org/package/2006/relationships"><Relationship Id="rId8" Type="http://schemas.openxmlformats.org/officeDocument/2006/relationships/image" Target="../media/image26.emf"/><Relationship Id="rId13" Type="http://schemas.openxmlformats.org/officeDocument/2006/relationships/image" Target="../media/image15.emf"/><Relationship Id="rId18" Type="http://schemas.openxmlformats.org/officeDocument/2006/relationships/image" Target="../media/image10.emf"/><Relationship Id="rId26" Type="http://schemas.openxmlformats.org/officeDocument/2006/relationships/image" Target="../media/image2.emf"/><Relationship Id="rId3" Type="http://schemas.openxmlformats.org/officeDocument/2006/relationships/image" Target="../media/image21.emf"/><Relationship Id="rId21" Type="http://schemas.openxmlformats.org/officeDocument/2006/relationships/image" Target="../media/image7.emf"/><Relationship Id="rId7" Type="http://schemas.openxmlformats.org/officeDocument/2006/relationships/image" Target="../media/image25.emf"/><Relationship Id="rId12" Type="http://schemas.openxmlformats.org/officeDocument/2006/relationships/image" Target="../media/image16.emf"/><Relationship Id="rId17" Type="http://schemas.openxmlformats.org/officeDocument/2006/relationships/image" Target="../media/image11.emf"/><Relationship Id="rId25" Type="http://schemas.openxmlformats.org/officeDocument/2006/relationships/image" Target="../media/image3.emf"/><Relationship Id="rId2" Type="http://schemas.openxmlformats.org/officeDocument/2006/relationships/image" Target="../media/image20.emf"/><Relationship Id="rId16" Type="http://schemas.openxmlformats.org/officeDocument/2006/relationships/image" Target="../media/image12.emf"/><Relationship Id="rId20" Type="http://schemas.openxmlformats.org/officeDocument/2006/relationships/image" Target="../media/image8.emf"/><Relationship Id="rId1" Type="http://schemas.openxmlformats.org/officeDocument/2006/relationships/image" Target="../media/image19.emf"/><Relationship Id="rId6" Type="http://schemas.openxmlformats.org/officeDocument/2006/relationships/image" Target="../media/image24.emf"/><Relationship Id="rId11" Type="http://schemas.openxmlformats.org/officeDocument/2006/relationships/image" Target="../media/image17.emf"/><Relationship Id="rId24" Type="http://schemas.openxmlformats.org/officeDocument/2006/relationships/image" Target="../media/image4.emf"/><Relationship Id="rId5" Type="http://schemas.openxmlformats.org/officeDocument/2006/relationships/image" Target="../media/image23.emf"/><Relationship Id="rId15" Type="http://schemas.openxmlformats.org/officeDocument/2006/relationships/image" Target="../media/image13.emf"/><Relationship Id="rId23" Type="http://schemas.openxmlformats.org/officeDocument/2006/relationships/image" Target="../media/image5.emf"/><Relationship Id="rId10" Type="http://schemas.openxmlformats.org/officeDocument/2006/relationships/image" Target="../media/image18.emf"/><Relationship Id="rId19" Type="http://schemas.openxmlformats.org/officeDocument/2006/relationships/image" Target="../media/image9.emf"/><Relationship Id="rId4" Type="http://schemas.openxmlformats.org/officeDocument/2006/relationships/image" Target="../media/image22.emf"/><Relationship Id="rId9" Type="http://schemas.openxmlformats.org/officeDocument/2006/relationships/image" Target="../media/image27.emf"/><Relationship Id="rId14" Type="http://schemas.openxmlformats.org/officeDocument/2006/relationships/image" Target="../media/image14.emf"/><Relationship Id="rId22" Type="http://schemas.openxmlformats.org/officeDocument/2006/relationships/image" Target="../media/image6.emf"/><Relationship Id="rId27"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20</xdr:col>
      <xdr:colOff>131867</xdr:colOff>
      <xdr:row>8</xdr:row>
      <xdr:rowOff>44442</xdr:rowOff>
    </xdr:from>
    <xdr:to>
      <xdr:col>30</xdr:col>
      <xdr:colOff>122117</xdr:colOff>
      <xdr:row>16</xdr:row>
      <xdr:rowOff>56523</xdr:rowOff>
    </xdr:to>
    <xdr:grpSp>
      <xdr:nvGrpSpPr>
        <xdr:cNvPr id="2" name="Group 1">
          <a:extLst>
            <a:ext uri="{FF2B5EF4-FFF2-40B4-BE49-F238E27FC236}">
              <a16:creationId xmlns:a16="http://schemas.microsoft.com/office/drawing/2014/main" id="{00000000-0008-0000-0100-000002000000}"/>
            </a:ext>
          </a:extLst>
        </xdr:cNvPr>
        <xdr:cNvGrpSpPr/>
      </xdr:nvGrpSpPr>
      <xdr:grpSpPr>
        <a:xfrm>
          <a:off x="3741842" y="1682742"/>
          <a:ext cx="1800000" cy="1821831"/>
          <a:chOff x="3363038" y="814500"/>
          <a:chExt cx="1822713" cy="1809375"/>
        </a:xfrm>
      </xdr:grpSpPr>
      <xdr:sp macro="" textlink="">
        <xdr:nvSpPr>
          <xdr:cNvPr id="3" name="Arc 2">
            <a:extLst>
              <a:ext uri="{FF2B5EF4-FFF2-40B4-BE49-F238E27FC236}">
                <a16:creationId xmlns:a16="http://schemas.microsoft.com/office/drawing/2014/main" id="{00000000-0008-0000-0100-000003000000}"/>
              </a:ext>
            </a:extLst>
          </xdr:cNvPr>
          <xdr:cNvSpPr/>
        </xdr:nvSpPr>
        <xdr:spPr>
          <a:xfrm rot="8100000">
            <a:off x="3363038" y="814500"/>
            <a:ext cx="1822713" cy="1805862"/>
          </a:xfrm>
          <a:prstGeom prst="arc">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xnSp macro="">
        <xdr:nvCxnSpPr>
          <xdr:cNvPr id="4" name="Straight Connector 3">
            <a:extLst>
              <a:ext uri="{FF2B5EF4-FFF2-40B4-BE49-F238E27FC236}">
                <a16:creationId xmlns:a16="http://schemas.microsoft.com/office/drawing/2014/main" id="{00000000-0008-0000-0100-000004000000}"/>
              </a:ext>
            </a:extLst>
          </xdr:cNvPr>
          <xdr:cNvCxnSpPr/>
        </xdr:nvCxnSpPr>
        <xdr:spPr>
          <a:xfrm flipV="1">
            <a:off x="3634249" y="2356258"/>
            <a:ext cx="1287138" cy="482"/>
          </a:xfrm>
          <a:prstGeom prst="line">
            <a:avLst/>
          </a:prstGeom>
          <a:ln w="6350">
            <a:solidFill>
              <a:schemeClr val="tx1"/>
            </a:solidFill>
            <a:prstDash val="sysDash"/>
          </a:ln>
        </xdr:spPr>
        <xdr:style>
          <a:lnRef idx="1">
            <a:schemeClr val="accent1"/>
          </a:lnRef>
          <a:fillRef idx="0">
            <a:schemeClr val="accent1"/>
          </a:fillRef>
          <a:effectRef idx="0">
            <a:schemeClr val="accent1"/>
          </a:effectRef>
          <a:fontRef idx="minor">
            <a:schemeClr val="tx1"/>
          </a:fontRef>
        </xdr:style>
      </xdr:cxnSp>
      <xdr:cxnSp macro="">
        <xdr:nvCxnSpPr>
          <xdr:cNvPr id="5" name="Straight Connector 4">
            <a:extLst>
              <a:ext uri="{FF2B5EF4-FFF2-40B4-BE49-F238E27FC236}">
                <a16:creationId xmlns:a16="http://schemas.microsoft.com/office/drawing/2014/main" id="{00000000-0008-0000-0100-000005000000}"/>
              </a:ext>
            </a:extLst>
          </xdr:cNvPr>
          <xdr:cNvCxnSpPr/>
        </xdr:nvCxnSpPr>
        <xdr:spPr>
          <a:xfrm rot="5400000" flipV="1">
            <a:off x="4147276" y="2490932"/>
            <a:ext cx="261294" cy="482"/>
          </a:xfrm>
          <a:prstGeom prst="line">
            <a:avLst/>
          </a:prstGeom>
          <a:ln w="6350">
            <a:solidFill>
              <a:schemeClr val="tx1"/>
            </a:solidFill>
            <a:prstDash val="sysDash"/>
          </a:ln>
        </xdr:spPr>
        <xdr:style>
          <a:lnRef idx="1">
            <a:schemeClr val="accent1"/>
          </a:lnRef>
          <a:fillRef idx="0">
            <a:schemeClr val="accent1"/>
          </a:fillRef>
          <a:effectRef idx="0">
            <a:schemeClr val="accent1"/>
          </a:effectRef>
          <a:fontRef idx="minor">
            <a:schemeClr val="tx1"/>
          </a:fontRef>
        </xdr:style>
      </xdr:cxnSp>
      <xdr:cxnSp macro="">
        <xdr:nvCxnSpPr>
          <xdr:cNvPr id="6" name="Straight Connector 5">
            <a:extLst>
              <a:ext uri="{FF2B5EF4-FFF2-40B4-BE49-F238E27FC236}">
                <a16:creationId xmlns:a16="http://schemas.microsoft.com/office/drawing/2014/main" id="{00000000-0008-0000-0100-000006000000}"/>
              </a:ext>
            </a:extLst>
          </xdr:cNvPr>
          <xdr:cNvCxnSpPr/>
        </xdr:nvCxnSpPr>
        <xdr:spPr>
          <a:xfrm flipH="1">
            <a:off x="3625517" y="1211140"/>
            <a:ext cx="653956" cy="1145118"/>
          </a:xfrm>
          <a:prstGeom prst="line">
            <a:avLst/>
          </a:prstGeom>
          <a:ln w="6350">
            <a:solidFill>
              <a:schemeClr val="tx1"/>
            </a:solidFill>
            <a:prstDash val="sysDash"/>
          </a:ln>
        </xdr:spPr>
        <xdr:style>
          <a:lnRef idx="1">
            <a:schemeClr val="accent1"/>
          </a:lnRef>
          <a:fillRef idx="0">
            <a:schemeClr val="accent1"/>
          </a:fillRef>
          <a:effectRef idx="0">
            <a:schemeClr val="accent1"/>
          </a:effectRef>
          <a:fontRef idx="minor">
            <a:schemeClr val="tx1"/>
          </a:fontRef>
        </xdr:style>
      </xdr:cxnSp>
      <xdr:cxnSp macro="">
        <xdr:nvCxnSpPr>
          <xdr:cNvPr id="7" name="Straight Connector 6">
            <a:extLst>
              <a:ext uri="{FF2B5EF4-FFF2-40B4-BE49-F238E27FC236}">
                <a16:creationId xmlns:a16="http://schemas.microsoft.com/office/drawing/2014/main" id="{00000000-0008-0000-0100-000007000000}"/>
              </a:ext>
            </a:extLst>
          </xdr:cNvPr>
          <xdr:cNvCxnSpPr/>
        </xdr:nvCxnSpPr>
        <xdr:spPr>
          <a:xfrm rot="5400000" flipV="1">
            <a:off x="3707489" y="1777227"/>
            <a:ext cx="1140868" cy="482"/>
          </a:xfrm>
          <a:prstGeom prst="line">
            <a:avLst/>
          </a:prstGeom>
          <a:ln w="6350">
            <a:solidFill>
              <a:schemeClr val="tx1"/>
            </a:solidFill>
            <a:prstDash val="sysDash"/>
          </a:ln>
        </xdr:spPr>
        <xdr:style>
          <a:lnRef idx="1">
            <a:schemeClr val="accent1"/>
          </a:lnRef>
          <a:fillRef idx="0">
            <a:schemeClr val="accent1"/>
          </a:fillRef>
          <a:effectRef idx="0">
            <a:schemeClr val="accent1"/>
          </a:effectRef>
          <a:fontRef idx="minor">
            <a:schemeClr val="tx1"/>
          </a:fontRef>
        </xdr:style>
      </xdr:cxnSp>
      <xdr:cxnSp macro="">
        <xdr:nvCxnSpPr>
          <xdr:cNvPr id="8" name="Straight Connector 7">
            <a:extLst>
              <a:ext uri="{FF2B5EF4-FFF2-40B4-BE49-F238E27FC236}">
                <a16:creationId xmlns:a16="http://schemas.microsoft.com/office/drawing/2014/main" id="{00000000-0008-0000-0100-000008000000}"/>
              </a:ext>
            </a:extLst>
          </xdr:cNvPr>
          <xdr:cNvCxnSpPr>
            <a:endCxn id="3" idx="0"/>
          </xdr:cNvCxnSpPr>
        </xdr:nvCxnSpPr>
        <xdr:spPr>
          <a:xfrm>
            <a:off x="4277092" y="1213521"/>
            <a:ext cx="640659" cy="1142504"/>
          </a:xfrm>
          <a:prstGeom prst="line">
            <a:avLst/>
          </a:prstGeom>
          <a:ln w="6350">
            <a:solidFill>
              <a:schemeClr val="tx1"/>
            </a:solidFill>
            <a:prstDash val="sysDash"/>
          </a:ln>
        </xdr:spPr>
        <xdr:style>
          <a:lnRef idx="1">
            <a:schemeClr val="accent1"/>
          </a:lnRef>
          <a:fillRef idx="0">
            <a:schemeClr val="accent1"/>
          </a:fillRef>
          <a:effectRef idx="0">
            <a:schemeClr val="accent1"/>
          </a:effectRef>
          <a:fontRef idx="minor">
            <a:schemeClr val="tx1"/>
          </a:fontRef>
        </xdr:style>
      </xdr:cxnSp>
      <xdr:sp macro="" textlink="">
        <xdr:nvSpPr>
          <xdr:cNvPr id="9" name="Arc 8">
            <a:extLst>
              <a:ext uri="{FF2B5EF4-FFF2-40B4-BE49-F238E27FC236}">
                <a16:creationId xmlns:a16="http://schemas.microsoft.com/office/drawing/2014/main" id="{00000000-0008-0000-0100-000009000000}"/>
              </a:ext>
            </a:extLst>
          </xdr:cNvPr>
          <xdr:cNvSpPr/>
        </xdr:nvSpPr>
        <xdr:spPr>
          <a:xfrm rot="8047699">
            <a:off x="4155049" y="1266009"/>
            <a:ext cx="144000" cy="146878"/>
          </a:xfrm>
          <a:prstGeom prst="arc">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sp macro="" textlink="">
        <xdr:nvSpPr>
          <xdr:cNvPr id="10" name="Arc 9">
            <a:extLst>
              <a:ext uri="{FF2B5EF4-FFF2-40B4-BE49-F238E27FC236}">
                <a16:creationId xmlns:a16="http://schemas.microsoft.com/office/drawing/2014/main" id="{00000000-0008-0000-0100-00000A000000}"/>
              </a:ext>
            </a:extLst>
          </xdr:cNvPr>
          <xdr:cNvSpPr/>
        </xdr:nvSpPr>
        <xdr:spPr>
          <a:xfrm rot="8047699">
            <a:off x="4255895" y="1272123"/>
            <a:ext cx="144000" cy="146878"/>
          </a:xfrm>
          <a:prstGeom prst="arc">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4093920" y="1378505"/>
            <a:ext cx="233782"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l-GR" sz="700" i="1">
                <a:latin typeface="Cambria"/>
              </a:rPr>
              <a:t>θ</a:t>
            </a:r>
            <a:endParaRPr lang="en-IN" sz="700" i="1"/>
          </a:p>
        </xdr:txBody>
      </xdr:sp>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4225384" y="1377815"/>
            <a:ext cx="233782"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l-GR" sz="700" i="1">
                <a:latin typeface="Cambria"/>
              </a:rPr>
              <a:t>θ</a:t>
            </a:r>
            <a:endParaRPr lang="en-IN" sz="700" i="1"/>
          </a:p>
        </xdr:txBody>
      </xdr:sp>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3848149" y="2137302"/>
            <a:ext cx="233782"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700" i="1">
                <a:latin typeface="Cambria"/>
              </a:rPr>
              <a:t>x</a:t>
            </a:r>
            <a:endParaRPr lang="en-IN" sz="700" i="1"/>
          </a:p>
        </xdr:txBody>
      </xdr:sp>
      <xdr:sp macro="" textlink="">
        <xdr:nvSpPr>
          <xdr:cNvPr id="14" name="TextBox 13">
            <a:extLst>
              <a:ext uri="{FF2B5EF4-FFF2-40B4-BE49-F238E27FC236}">
                <a16:creationId xmlns:a16="http://schemas.microsoft.com/office/drawing/2014/main" id="{00000000-0008-0000-0100-00000E000000}"/>
              </a:ext>
            </a:extLst>
          </xdr:cNvPr>
          <xdr:cNvSpPr txBox="1"/>
        </xdr:nvSpPr>
        <xdr:spPr>
          <a:xfrm>
            <a:off x="4485438" y="2143425"/>
            <a:ext cx="233782"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700" i="1">
                <a:latin typeface="Cambria"/>
              </a:rPr>
              <a:t>x</a:t>
            </a:r>
            <a:endParaRPr lang="en-IN" sz="700" i="1"/>
          </a:p>
        </xdr:txBody>
      </xdr:sp>
      <xdr:cxnSp macro="">
        <xdr:nvCxnSpPr>
          <xdr:cNvPr id="15" name="Straight Connector 14">
            <a:extLst>
              <a:ext uri="{FF2B5EF4-FFF2-40B4-BE49-F238E27FC236}">
                <a16:creationId xmlns:a16="http://schemas.microsoft.com/office/drawing/2014/main" id="{00000000-0008-0000-0100-00000F000000}"/>
              </a:ext>
            </a:extLst>
          </xdr:cNvPr>
          <xdr:cNvCxnSpPr/>
        </xdr:nvCxnSpPr>
        <xdr:spPr>
          <a:xfrm>
            <a:off x="3623949" y="2216917"/>
            <a:ext cx="0" cy="72000"/>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6" name="Straight Connector 15">
            <a:extLst>
              <a:ext uri="{FF2B5EF4-FFF2-40B4-BE49-F238E27FC236}">
                <a16:creationId xmlns:a16="http://schemas.microsoft.com/office/drawing/2014/main" id="{00000000-0008-0000-0100-000010000000}"/>
              </a:ext>
            </a:extLst>
          </xdr:cNvPr>
          <xdr:cNvCxnSpPr/>
        </xdr:nvCxnSpPr>
        <xdr:spPr>
          <a:xfrm>
            <a:off x="4917778" y="2216236"/>
            <a:ext cx="0" cy="72000"/>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7" name="Straight Connector 16">
            <a:extLst>
              <a:ext uri="{FF2B5EF4-FFF2-40B4-BE49-F238E27FC236}">
                <a16:creationId xmlns:a16="http://schemas.microsoft.com/office/drawing/2014/main" id="{00000000-0008-0000-0100-000011000000}"/>
              </a:ext>
            </a:extLst>
          </xdr:cNvPr>
          <xdr:cNvCxnSpPr/>
        </xdr:nvCxnSpPr>
        <xdr:spPr>
          <a:xfrm>
            <a:off x="3626670" y="2250255"/>
            <a:ext cx="256448" cy="0"/>
          </a:xfrm>
          <a:prstGeom prst="line">
            <a:avLst/>
          </a:prstGeom>
          <a:ln w="3175">
            <a:solidFill>
              <a:schemeClr val="tx1"/>
            </a:solidFill>
            <a:headEnd type="stealth" w="sm" len="sm"/>
          </a:ln>
        </xdr:spPr>
        <xdr:style>
          <a:lnRef idx="1">
            <a:schemeClr val="accent1"/>
          </a:lnRef>
          <a:fillRef idx="0">
            <a:schemeClr val="accent1"/>
          </a:fillRef>
          <a:effectRef idx="0">
            <a:schemeClr val="accent1"/>
          </a:effectRef>
          <a:fontRef idx="minor">
            <a:schemeClr val="tx1"/>
          </a:fontRef>
        </xdr:style>
      </xdr:cxnSp>
      <xdr:cxnSp macro="">
        <xdr:nvCxnSpPr>
          <xdr:cNvPr id="18" name="Straight Connector 17">
            <a:extLst>
              <a:ext uri="{FF2B5EF4-FFF2-40B4-BE49-F238E27FC236}">
                <a16:creationId xmlns:a16="http://schemas.microsoft.com/office/drawing/2014/main" id="{00000000-0008-0000-0100-000012000000}"/>
              </a:ext>
            </a:extLst>
          </xdr:cNvPr>
          <xdr:cNvCxnSpPr/>
        </xdr:nvCxnSpPr>
        <xdr:spPr>
          <a:xfrm>
            <a:off x="4011438" y="2249575"/>
            <a:ext cx="257757" cy="0"/>
          </a:xfrm>
          <a:prstGeom prst="line">
            <a:avLst/>
          </a:prstGeom>
          <a:ln w="3175">
            <a:solidFill>
              <a:schemeClr val="tx1"/>
            </a:solidFill>
            <a:headEnd type="none" w="sm" len="sm"/>
            <a:tailEnd type="stealth" w="sm" len="sm"/>
          </a:ln>
        </xdr:spPr>
        <xdr:style>
          <a:lnRef idx="1">
            <a:schemeClr val="accent1"/>
          </a:lnRef>
          <a:fillRef idx="0">
            <a:schemeClr val="accent1"/>
          </a:fillRef>
          <a:effectRef idx="0">
            <a:schemeClr val="accent1"/>
          </a:effectRef>
          <a:fontRef idx="minor">
            <a:schemeClr val="tx1"/>
          </a:fontRef>
        </xdr:style>
      </xdr:cxnSp>
      <xdr:cxnSp macro="">
        <xdr:nvCxnSpPr>
          <xdr:cNvPr id="19" name="Straight Connector 18">
            <a:extLst>
              <a:ext uri="{FF2B5EF4-FFF2-40B4-BE49-F238E27FC236}">
                <a16:creationId xmlns:a16="http://schemas.microsoft.com/office/drawing/2014/main" id="{00000000-0008-0000-0100-000013000000}"/>
              </a:ext>
            </a:extLst>
          </xdr:cNvPr>
          <xdr:cNvCxnSpPr/>
        </xdr:nvCxnSpPr>
        <xdr:spPr>
          <a:xfrm>
            <a:off x="4279132" y="2249575"/>
            <a:ext cx="254878" cy="0"/>
          </a:xfrm>
          <a:prstGeom prst="line">
            <a:avLst/>
          </a:prstGeom>
          <a:ln w="3175">
            <a:solidFill>
              <a:schemeClr val="tx1"/>
            </a:solidFill>
            <a:headEnd type="stealth" w="sm" len="sm"/>
          </a:ln>
        </xdr:spPr>
        <xdr:style>
          <a:lnRef idx="1">
            <a:schemeClr val="accent1"/>
          </a:lnRef>
          <a:fillRef idx="0">
            <a:schemeClr val="accent1"/>
          </a:fillRef>
          <a:effectRef idx="0">
            <a:schemeClr val="accent1"/>
          </a:effectRef>
          <a:fontRef idx="minor">
            <a:schemeClr val="tx1"/>
          </a:fontRef>
        </xdr:style>
      </xdr:cxnSp>
      <xdr:cxnSp macro="">
        <xdr:nvCxnSpPr>
          <xdr:cNvPr id="20" name="Straight Connector 19">
            <a:extLst>
              <a:ext uri="{FF2B5EF4-FFF2-40B4-BE49-F238E27FC236}">
                <a16:creationId xmlns:a16="http://schemas.microsoft.com/office/drawing/2014/main" id="{00000000-0008-0000-0100-000014000000}"/>
              </a:ext>
            </a:extLst>
          </xdr:cNvPr>
          <xdr:cNvCxnSpPr/>
        </xdr:nvCxnSpPr>
        <xdr:spPr>
          <a:xfrm>
            <a:off x="4665209" y="2248895"/>
            <a:ext cx="254878" cy="0"/>
          </a:xfrm>
          <a:prstGeom prst="line">
            <a:avLst/>
          </a:prstGeom>
          <a:ln w="3175">
            <a:solidFill>
              <a:schemeClr val="tx1"/>
            </a:solidFill>
            <a:headEnd type="none" w="sm" len="sm"/>
            <a:tailEnd type="stealth" w="sm" len="sm"/>
          </a:ln>
        </xdr:spPr>
        <xdr:style>
          <a:lnRef idx="1">
            <a:schemeClr val="accent1"/>
          </a:lnRef>
          <a:fillRef idx="0">
            <a:schemeClr val="accent1"/>
          </a:fillRef>
          <a:effectRef idx="0">
            <a:schemeClr val="accent1"/>
          </a:effectRef>
          <a:fontRef idx="minor">
            <a:schemeClr val="tx1"/>
          </a:fontRef>
        </xdr:style>
      </xdr:cxnSp>
      <xdr:sp macro="" textlink="">
        <xdr:nvSpPr>
          <xdr:cNvPr id="21" name="TextBox 20">
            <a:extLst>
              <a:ext uri="{FF2B5EF4-FFF2-40B4-BE49-F238E27FC236}">
                <a16:creationId xmlns:a16="http://schemas.microsoft.com/office/drawing/2014/main" id="{00000000-0008-0000-0100-000015000000}"/>
              </a:ext>
            </a:extLst>
          </xdr:cNvPr>
          <xdr:cNvSpPr txBox="1"/>
        </xdr:nvSpPr>
        <xdr:spPr>
          <a:xfrm rot="17862303">
            <a:off x="3793563" y="1620074"/>
            <a:ext cx="237629"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700" i="1">
                <a:latin typeface="Cambria"/>
              </a:rPr>
              <a:t>R</a:t>
            </a:r>
            <a:endParaRPr lang="en-IN" sz="700" i="1"/>
          </a:p>
        </xdr:txBody>
      </xdr:sp>
      <xdr:sp macro="" textlink="">
        <xdr:nvSpPr>
          <xdr:cNvPr id="22" name="TextBox 21">
            <a:extLst>
              <a:ext uri="{FF2B5EF4-FFF2-40B4-BE49-F238E27FC236}">
                <a16:creationId xmlns:a16="http://schemas.microsoft.com/office/drawing/2014/main" id="{00000000-0008-0000-0100-000016000000}"/>
              </a:ext>
            </a:extLst>
          </xdr:cNvPr>
          <xdr:cNvSpPr txBox="1"/>
        </xdr:nvSpPr>
        <xdr:spPr>
          <a:xfrm>
            <a:off x="4216535" y="1832398"/>
            <a:ext cx="313227"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700" i="1">
                <a:latin typeface="Cambria"/>
              </a:rPr>
              <a:t>R-d</a:t>
            </a:r>
            <a:endParaRPr lang="en-IN" sz="700" i="1"/>
          </a:p>
        </xdr:txBody>
      </xdr:sp>
      <xdr:sp macro="" textlink="">
        <xdr:nvSpPr>
          <xdr:cNvPr id="23" name="TextBox 22">
            <a:extLst>
              <a:ext uri="{FF2B5EF4-FFF2-40B4-BE49-F238E27FC236}">
                <a16:creationId xmlns:a16="http://schemas.microsoft.com/office/drawing/2014/main" id="{00000000-0008-0000-0100-000017000000}"/>
              </a:ext>
            </a:extLst>
          </xdr:cNvPr>
          <xdr:cNvSpPr txBox="1"/>
        </xdr:nvSpPr>
        <xdr:spPr>
          <a:xfrm>
            <a:off x="4909612" y="2380243"/>
            <a:ext cx="233782"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700" i="1">
                <a:latin typeface="Cambria"/>
              </a:rPr>
              <a:t>d</a:t>
            </a:r>
            <a:endParaRPr lang="en-IN" sz="700" i="1"/>
          </a:p>
        </xdr:txBody>
      </xdr:sp>
      <xdr:cxnSp macro="">
        <xdr:nvCxnSpPr>
          <xdr:cNvPr id="24" name="Straight Connector 23">
            <a:extLst>
              <a:ext uri="{FF2B5EF4-FFF2-40B4-BE49-F238E27FC236}">
                <a16:creationId xmlns:a16="http://schemas.microsoft.com/office/drawing/2014/main" id="{00000000-0008-0000-0100-000018000000}"/>
              </a:ext>
            </a:extLst>
          </xdr:cNvPr>
          <xdr:cNvCxnSpPr/>
        </xdr:nvCxnSpPr>
        <xdr:spPr>
          <a:xfrm>
            <a:off x="4994818" y="2353721"/>
            <a:ext cx="72000" cy="0"/>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5" name="Straight Connector 24">
            <a:extLst>
              <a:ext uri="{FF2B5EF4-FFF2-40B4-BE49-F238E27FC236}">
                <a16:creationId xmlns:a16="http://schemas.microsoft.com/office/drawing/2014/main" id="{00000000-0008-0000-0100-000019000000}"/>
              </a:ext>
            </a:extLst>
          </xdr:cNvPr>
          <xdr:cNvCxnSpPr/>
        </xdr:nvCxnSpPr>
        <xdr:spPr>
          <a:xfrm>
            <a:off x="4994182" y="2623875"/>
            <a:ext cx="72000" cy="0"/>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 name="Straight Connector 25">
            <a:extLst>
              <a:ext uri="{FF2B5EF4-FFF2-40B4-BE49-F238E27FC236}">
                <a16:creationId xmlns:a16="http://schemas.microsoft.com/office/drawing/2014/main" id="{00000000-0008-0000-0100-00001A000000}"/>
              </a:ext>
            </a:extLst>
          </xdr:cNvPr>
          <xdr:cNvCxnSpPr/>
        </xdr:nvCxnSpPr>
        <xdr:spPr>
          <a:xfrm rot="5400000">
            <a:off x="4991605" y="2584235"/>
            <a:ext cx="72000" cy="0"/>
          </a:xfrm>
          <a:prstGeom prst="line">
            <a:avLst/>
          </a:prstGeom>
          <a:ln w="3175">
            <a:solidFill>
              <a:schemeClr val="tx1"/>
            </a:solidFill>
            <a:headEnd type="none" w="sm" len="sm"/>
            <a:tailEnd type="stealth" w="sm" len="sm"/>
          </a:ln>
        </xdr:spPr>
        <xdr:style>
          <a:lnRef idx="1">
            <a:schemeClr val="accent1"/>
          </a:lnRef>
          <a:fillRef idx="0">
            <a:schemeClr val="accent1"/>
          </a:fillRef>
          <a:effectRef idx="0">
            <a:schemeClr val="accent1"/>
          </a:effectRef>
          <a:fontRef idx="minor">
            <a:schemeClr val="tx1"/>
          </a:fontRef>
        </xdr:style>
      </xdr:cxnSp>
      <xdr:cxnSp macro="">
        <xdr:nvCxnSpPr>
          <xdr:cNvPr id="27" name="Straight Connector 26">
            <a:extLst>
              <a:ext uri="{FF2B5EF4-FFF2-40B4-BE49-F238E27FC236}">
                <a16:creationId xmlns:a16="http://schemas.microsoft.com/office/drawing/2014/main" id="{00000000-0008-0000-0100-00001B000000}"/>
              </a:ext>
            </a:extLst>
          </xdr:cNvPr>
          <xdr:cNvCxnSpPr/>
        </xdr:nvCxnSpPr>
        <xdr:spPr>
          <a:xfrm rot="5400000">
            <a:off x="4994327" y="2387558"/>
            <a:ext cx="72000" cy="0"/>
          </a:xfrm>
          <a:prstGeom prst="line">
            <a:avLst/>
          </a:prstGeom>
          <a:ln w="3175">
            <a:solidFill>
              <a:schemeClr val="tx1"/>
            </a:solidFill>
            <a:headEnd type="stealth" w="sm" len="sm"/>
            <a:tailEnd type="none" w="sm" len="sm"/>
          </a:ln>
        </xdr:spPr>
        <xdr:style>
          <a:lnRef idx="1">
            <a:schemeClr val="accent1"/>
          </a:lnRef>
          <a:fillRef idx="0">
            <a:schemeClr val="accent1"/>
          </a:fillRef>
          <a:effectRef idx="0">
            <a:schemeClr val="accent1"/>
          </a:effectRef>
          <a:fontRef idx="minor">
            <a:schemeClr val="tx1"/>
          </a:fontRef>
        </xdr:style>
      </xdr:cxnSp>
    </xdr:grpSp>
    <xdr:clientData fLocksWithSheet="0"/>
  </xdr:twoCellAnchor>
  <xdr:twoCellAnchor>
    <xdr:from>
      <xdr:col>8</xdr:col>
      <xdr:colOff>104775</xdr:colOff>
      <xdr:row>20</xdr:row>
      <xdr:rowOff>0</xdr:rowOff>
    </xdr:from>
    <xdr:to>
      <xdr:col>10</xdr:col>
      <xdr:colOff>38100</xdr:colOff>
      <xdr:row>20</xdr:row>
      <xdr:rowOff>0</xdr:rowOff>
    </xdr:to>
    <xdr:cxnSp macro="">
      <xdr:nvCxnSpPr>
        <xdr:cNvPr id="28" name="Straight Connector 27">
          <a:extLst>
            <a:ext uri="{FF2B5EF4-FFF2-40B4-BE49-F238E27FC236}">
              <a16:creationId xmlns:a16="http://schemas.microsoft.com/office/drawing/2014/main" id="{00000000-0008-0000-0100-00001C000000}"/>
            </a:ext>
          </a:extLst>
        </xdr:cNvPr>
        <xdr:cNvCxnSpPr/>
      </xdr:nvCxnSpPr>
      <xdr:spPr>
        <a:xfrm>
          <a:off x="1485900" y="4429125"/>
          <a:ext cx="323850" cy="0"/>
        </a:xfrm>
        <a:prstGeom prst="line">
          <a:avLst/>
        </a:prstGeom>
        <a:ln w="63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29</xdr:col>
          <xdr:colOff>38100</xdr:colOff>
          <xdr:row>17</xdr:row>
          <xdr:rowOff>47625</xdr:rowOff>
        </xdr:from>
        <xdr:to>
          <xdr:col>36</xdr:col>
          <xdr:colOff>142875</xdr:colOff>
          <xdr:row>18</xdr:row>
          <xdr:rowOff>123825</xdr:rowOff>
        </xdr:to>
        <xdr:sp macro="" textlink="">
          <xdr:nvSpPr>
            <xdr:cNvPr id="3083" name="ckbCCBottomCapPlate"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38100</xdr:colOff>
          <xdr:row>12</xdr:row>
          <xdr:rowOff>0</xdr:rowOff>
        </xdr:from>
        <xdr:to>
          <xdr:col>37</xdr:col>
          <xdr:colOff>142875</xdr:colOff>
          <xdr:row>13</xdr:row>
          <xdr:rowOff>76200</xdr:rowOff>
        </xdr:to>
        <xdr:sp macro="" textlink="">
          <xdr:nvSpPr>
            <xdr:cNvPr id="3084" name="ckbCRVerticalAnnulus" hidden="1">
              <a:extLst>
                <a:ext uri="{63B3BB69-23CF-44E3-9099-C40C66FF867C}">
                  <a14:compatExt spid="_x0000_s3084"/>
                </a:ext>
                <a:ext uri="{FF2B5EF4-FFF2-40B4-BE49-F238E27FC236}">
                  <a16:creationId xmlns:a16="http://schemas.microsoft.com/office/drawing/2014/main" id="{00000000-0008-0000-0200-00000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38100</xdr:colOff>
          <xdr:row>10</xdr:row>
          <xdr:rowOff>76200</xdr:rowOff>
        </xdr:from>
        <xdr:to>
          <xdr:col>37</xdr:col>
          <xdr:colOff>142875</xdr:colOff>
          <xdr:row>12</xdr:row>
          <xdr:rowOff>0</xdr:rowOff>
        </xdr:to>
        <xdr:sp macro="" textlink="">
          <xdr:nvSpPr>
            <xdr:cNvPr id="3085" name="ckbCompressionRing"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38100</xdr:colOff>
          <xdr:row>18</xdr:row>
          <xdr:rowOff>95250</xdr:rowOff>
        </xdr:from>
        <xdr:to>
          <xdr:col>37</xdr:col>
          <xdr:colOff>142875</xdr:colOff>
          <xdr:row>20</xdr:row>
          <xdr:rowOff>19050</xdr:rowOff>
        </xdr:to>
        <xdr:sp macro="" textlink="">
          <xdr:nvSpPr>
            <xdr:cNvPr id="3087" name="ckbCCTop" hidden="1">
              <a:extLst>
                <a:ext uri="{63B3BB69-23CF-44E3-9099-C40C66FF867C}">
                  <a14:compatExt spid="_x0000_s3087"/>
                </a:ext>
                <a:ext uri="{FF2B5EF4-FFF2-40B4-BE49-F238E27FC236}">
                  <a16:creationId xmlns:a16="http://schemas.microsoft.com/office/drawing/2014/main" id="{00000000-0008-0000-0200-00000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85725</xdr:colOff>
          <xdr:row>4</xdr:row>
          <xdr:rowOff>57150</xdr:rowOff>
        </xdr:from>
        <xdr:to>
          <xdr:col>38</xdr:col>
          <xdr:colOff>133350</xdr:colOff>
          <xdr:row>6</xdr:row>
          <xdr:rowOff>9525</xdr:rowOff>
        </xdr:to>
        <xdr:sp macro="" textlink="">
          <xdr:nvSpPr>
            <xdr:cNvPr id="3088" name="btnGenerateThickener" hidden="1">
              <a:extLst>
                <a:ext uri="{63B3BB69-23CF-44E3-9099-C40C66FF867C}">
                  <a14:compatExt spid="_x0000_s3088"/>
                </a:ext>
                <a:ext uri="{FF2B5EF4-FFF2-40B4-BE49-F238E27FC236}">
                  <a16:creationId xmlns:a16="http://schemas.microsoft.com/office/drawing/2014/main" id="{00000000-0008-0000-0200-00001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38100</xdr:colOff>
          <xdr:row>14</xdr:row>
          <xdr:rowOff>123825</xdr:rowOff>
        </xdr:from>
        <xdr:to>
          <xdr:col>37</xdr:col>
          <xdr:colOff>142875</xdr:colOff>
          <xdr:row>16</xdr:row>
          <xdr:rowOff>47625</xdr:rowOff>
        </xdr:to>
        <xdr:sp macro="" textlink="">
          <xdr:nvSpPr>
            <xdr:cNvPr id="3097" name="ckbCCBottom" hidden="1">
              <a:extLst>
                <a:ext uri="{63B3BB69-23CF-44E3-9099-C40C66FF867C}">
                  <a14:compatExt spid="_x0000_s3097"/>
                </a:ext>
                <a:ext uri="{FF2B5EF4-FFF2-40B4-BE49-F238E27FC236}">
                  <a16:creationId xmlns:a16="http://schemas.microsoft.com/office/drawing/2014/main" id="{00000000-0008-0000-0200-00001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38100</xdr:colOff>
          <xdr:row>13</xdr:row>
          <xdr:rowOff>66675</xdr:rowOff>
        </xdr:from>
        <xdr:to>
          <xdr:col>37</xdr:col>
          <xdr:colOff>142875</xdr:colOff>
          <xdr:row>14</xdr:row>
          <xdr:rowOff>142875</xdr:rowOff>
        </xdr:to>
        <xdr:sp macro="" textlink="">
          <xdr:nvSpPr>
            <xdr:cNvPr id="3098" name="ckbCRStiffener" hidden="1">
              <a:extLst>
                <a:ext uri="{63B3BB69-23CF-44E3-9099-C40C66FF867C}">
                  <a14:compatExt spid="_x0000_s3098"/>
                </a:ext>
                <a:ext uri="{FF2B5EF4-FFF2-40B4-BE49-F238E27FC236}">
                  <a16:creationId xmlns:a16="http://schemas.microsoft.com/office/drawing/2014/main" id="{00000000-0008-0000-0200-00001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38100</xdr:colOff>
          <xdr:row>19</xdr:row>
          <xdr:rowOff>142875</xdr:rowOff>
        </xdr:from>
        <xdr:to>
          <xdr:col>36</xdr:col>
          <xdr:colOff>142875</xdr:colOff>
          <xdr:row>21</xdr:row>
          <xdr:rowOff>66675</xdr:rowOff>
        </xdr:to>
        <xdr:sp macro="" textlink="">
          <xdr:nvSpPr>
            <xdr:cNvPr id="3099" name="ckbCCTopCapPlate" hidden="1">
              <a:extLst>
                <a:ext uri="{63B3BB69-23CF-44E3-9099-C40C66FF867C}">
                  <a14:compatExt spid="_x0000_s3099"/>
                </a:ext>
                <a:ext uri="{FF2B5EF4-FFF2-40B4-BE49-F238E27FC236}">
                  <a16:creationId xmlns:a16="http://schemas.microsoft.com/office/drawing/2014/main" id="{00000000-0008-0000-0200-00001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38100</xdr:colOff>
          <xdr:row>21</xdr:row>
          <xdr:rowOff>28575</xdr:rowOff>
        </xdr:from>
        <xdr:to>
          <xdr:col>36</xdr:col>
          <xdr:colOff>142875</xdr:colOff>
          <xdr:row>22</xdr:row>
          <xdr:rowOff>104775</xdr:rowOff>
        </xdr:to>
        <xdr:sp macro="" textlink="">
          <xdr:nvSpPr>
            <xdr:cNvPr id="3100" name="ckbCCStiffener" hidden="1">
              <a:extLst>
                <a:ext uri="{63B3BB69-23CF-44E3-9099-C40C66FF867C}">
                  <a14:compatExt spid="_x0000_s3100"/>
                </a:ext>
                <a:ext uri="{FF2B5EF4-FFF2-40B4-BE49-F238E27FC236}">
                  <a16:creationId xmlns:a16="http://schemas.microsoft.com/office/drawing/2014/main" id="{00000000-0008-0000-0200-00001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38100</xdr:colOff>
          <xdr:row>16</xdr:row>
          <xdr:rowOff>9525</xdr:rowOff>
        </xdr:from>
        <xdr:to>
          <xdr:col>36</xdr:col>
          <xdr:colOff>142875</xdr:colOff>
          <xdr:row>17</xdr:row>
          <xdr:rowOff>85725</xdr:rowOff>
        </xdr:to>
        <xdr:sp macro="" textlink="">
          <xdr:nvSpPr>
            <xdr:cNvPr id="3102" name="ckbCCBottomBasePlate" hidden="1">
              <a:extLst>
                <a:ext uri="{63B3BB69-23CF-44E3-9099-C40C66FF867C}">
                  <a14:compatExt spid="_x0000_s3102"/>
                </a:ext>
                <a:ext uri="{FF2B5EF4-FFF2-40B4-BE49-F238E27FC236}">
                  <a16:creationId xmlns:a16="http://schemas.microsoft.com/office/drawing/2014/main" id="{00000000-0008-0000-0200-00001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28</xdr:col>
          <xdr:colOff>161925</xdr:colOff>
          <xdr:row>23</xdr:row>
          <xdr:rowOff>133351</xdr:rowOff>
        </xdr:from>
        <xdr:to>
          <xdr:col>38</xdr:col>
          <xdr:colOff>28575</xdr:colOff>
          <xdr:row>30</xdr:row>
          <xdr:rowOff>19051</xdr:rowOff>
        </xdr:to>
        <xdr:grpSp>
          <xdr:nvGrpSpPr>
            <xdr:cNvPr id="2" name="Group 1">
              <a:extLst>
                <a:ext uri="{FF2B5EF4-FFF2-40B4-BE49-F238E27FC236}">
                  <a16:creationId xmlns:a16="http://schemas.microsoft.com/office/drawing/2014/main" id="{00000000-0008-0000-0200-000002000000}"/>
                </a:ext>
              </a:extLst>
            </xdr:cNvPr>
            <xdr:cNvGrpSpPr/>
          </xdr:nvGrpSpPr>
          <xdr:grpSpPr>
            <a:xfrm>
              <a:off x="5219700" y="3790951"/>
              <a:ext cx="1676400" cy="952500"/>
              <a:chOff x="5219700" y="4743451"/>
              <a:chExt cx="1676400" cy="952500"/>
            </a:xfrm>
          </xdr:grpSpPr>
          <xdr:sp macro="" textlink="">
            <xdr:nvSpPr>
              <xdr:cNvPr id="3103" name="ckbTx" hidden="1">
                <a:extLst>
                  <a:ext uri="{63B3BB69-23CF-44E3-9099-C40C66FF867C}">
                    <a14:compatExt spid="_x0000_s3103"/>
                  </a:ext>
                  <a:ext uri="{FF2B5EF4-FFF2-40B4-BE49-F238E27FC236}">
                    <a16:creationId xmlns:a16="http://schemas.microsoft.com/office/drawing/2014/main" id="{00000000-0008-0000-0200-00001F0C0000}"/>
                  </a:ext>
                </a:extLst>
              </xdr:cNvPr>
              <xdr:cNvSpPr/>
            </xdr:nvSpPr>
            <xdr:spPr bwMode="auto">
              <a:xfrm>
                <a:off x="5314950" y="5191125"/>
                <a:ext cx="381000" cy="228600"/>
              </a:xfrm>
              <a:prstGeom prst="rect">
                <a:avLst/>
              </a:prstGeom>
              <a:noFill/>
              <a:ln>
                <a:noFill/>
              </a:ln>
              <a:extLst>
                <a:ext uri="{91240B29-F687-4F45-9708-019B960494DF}">
                  <a14:hiddenLine w="9525">
                    <a:noFill/>
                    <a:miter lim="800000"/>
                    <a:headEnd/>
                    <a:tailEnd/>
                  </a14:hiddenLine>
                </a:ext>
              </a:extLst>
            </xdr:spPr>
          </xdr:sp>
          <xdr:sp macro="" textlink="">
            <xdr:nvSpPr>
              <xdr:cNvPr id="3104" name="ckbTy" hidden="1">
                <a:extLst>
                  <a:ext uri="{63B3BB69-23CF-44E3-9099-C40C66FF867C}">
                    <a14:compatExt spid="_x0000_s3104"/>
                  </a:ext>
                  <a:ext uri="{FF2B5EF4-FFF2-40B4-BE49-F238E27FC236}">
                    <a16:creationId xmlns:a16="http://schemas.microsoft.com/office/drawing/2014/main" id="{00000000-0008-0000-0200-0000200C0000}"/>
                  </a:ext>
                </a:extLst>
              </xdr:cNvPr>
              <xdr:cNvSpPr/>
            </xdr:nvSpPr>
            <xdr:spPr bwMode="auto">
              <a:xfrm>
                <a:off x="5785485" y="5191125"/>
                <a:ext cx="381000" cy="228600"/>
              </a:xfrm>
              <a:prstGeom prst="rect">
                <a:avLst/>
              </a:prstGeom>
              <a:noFill/>
              <a:ln>
                <a:noFill/>
              </a:ln>
              <a:extLst>
                <a:ext uri="{91240B29-F687-4F45-9708-019B960494DF}">
                  <a14:hiddenLine w="9525">
                    <a:noFill/>
                    <a:miter lim="800000"/>
                    <a:headEnd/>
                    <a:tailEnd/>
                  </a14:hiddenLine>
                </a:ext>
              </a:extLst>
            </xdr:spPr>
          </xdr:sp>
          <xdr:sp macro="" textlink="">
            <xdr:nvSpPr>
              <xdr:cNvPr id="3105" name="ckbTz" hidden="1">
                <a:extLst>
                  <a:ext uri="{63B3BB69-23CF-44E3-9099-C40C66FF867C}">
                    <a14:compatExt spid="_x0000_s3105"/>
                  </a:ext>
                  <a:ext uri="{FF2B5EF4-FFF2-40B4-BE49-F238E27FC236}">
                    <a16:creationId xmlns:a16="http://schemas.microsoft.com/office/drawing/2014/main" id="{00000000-0008-0000-0200-0000210C0000}"/>
                  </a:ext>
                </a:extLst>
              </xdr:cNvPr>
              <xdr:cNvSpPr/>
            </xdr:nvSpPr>
            <xdr:spPr bwMode="auto">
              <a:xfrm>
                <a:off x="6256020" y="5191125"/>
                <a:ext cx="381000" cy="228600"/>
              </a:xfrm>
              <a:prstGeom prst="rect">
                <a:avLst/>
              </a:prstGeom>
              <a:noFill/>
              <a:ln>
                <a:noFill/>
              </a:ln>
              <a:extLst>
                <a:ext uri="{91240B29-F687-4F45-9708-019B960494DF}">
                  <a14:hiddenLine w="9525">
                    <a:noFill/>
                    <a:miter lim="800000"/>
                    <a:headEnd/>
                    <a:tailEnd/>
                  </a14:hiddenLine>
                </a:ext>
              </a:extLst>
            </xdr:spPr>
          </xdr:sp>
          <xdr:sp macro="" textlink="">
            <xdr:nvSpPr>
              <xdr:cNvPr id="3106" name="ckbRx" hidden="1">
                <a:extLst>
                  <a:ext uri="{63B3BB69-23CF-44E3-9099-C40C66FF867C}">
                    <a14:compatExt spid="_x0000_s3106"/>
                  </a:ext>
                  <a:ext uri="{FF2B5EF4-FFF2-40B4-BE49-F238E27FC236}">
                    <a16:creationId xmlns:a16="http://schemas.microsoft.com/office/drawing/2014/main" id="{00000000-0008-0000-0200-0000220C0000}"/>
                  </a:ext>
                </a:extLst>
              </xdr:cNvPr>
              <xdr:cNvSpPr/>
            </xdr:nvSpPr>
            <xdr:spPr bwMode="auto">
              <a:xfrm>
                <a:off x="5316855" y="5419725"/>
                <a:ext cx="381000" cy="228600"/>
              </a:xfrm>
              <a:prstGeom prst="rect">
                <a:avLst/>
              </a:prstGeom>
              <a:noFill/>
              <a:ln>
                <a:noFill/>
              </a:ln>
              <a:extLst>
                <a:ext uri="{91240B29-F687-4F45-9708-019B960494DF}">
                  <a14:hiddenLine w="9525">
                    <a:noFill/>
                    <a:miter lim="800000"/>
                    <a:headEnd/>
                    <a:tailEnd/>
                  </a14:hiddenLine>
                </a:ext>
              </a:extLst>
            </xdr:spPr>
          </xdr:sp>
          <xdr:sp macro="" textlink="">
            <xdr:nvSpPr>
              <xdr:cNvPr id="3107" name="ckbRy" hidden="1">
                <a:extLst>
                  <a:ext uri="{63B3BB69-23CF-44E3-9099-C40C66FF867C}">
                    <a14:compatExt spid="_x0000_s3107"/>
                  </a:ext>
                  <a:ext uri="{FF2B5EF4-FFF2-40B4-BE49-F238E27FC236}">
                    <a16:creationId xmlns:a16="http://schemas.microsoft.com/office/drawing/2014/main" id="{00000000-0008-0000-0200-0000230C0000}"/>
                  </a:ext>
                </a:extLst>
              </xdr:cNvPr>
              <xdr:cNvSpPr/>
            </xdr:nvSpPr>
            <xdr:spPr bwMode="auto">
              <a:xfrm>
                <a:off x="5787390" y="5419725"/>
                <a:ext cx="381000" cy="228600"/>
              </a:xfrm>
              <a:prstGeom prst="rect">
                <a:avLst/>
              </a:prstGeom>
              <a:noFill/>
              <a:ln>
                <a:noFill/>
              </a:ln>
              <a:extLst>
                <a:ext uri="{91240B29-F687-4F45-9708-019B960494DF}">
                  <a14:hiddenLine w="9525">
                    <a:noFill/>
                    <a:miter lim="800000"/>
                    <a:headEnd/>
                    <a:tailEnd/>
                  </a14:hiddenLine>
                </a:ext>
              </a:extLst>
            </xdr:spPr>
          </xdr:sp>
          <xdr:sp macro="" textlink="">
            <xdr:nvSpPr>
              <xdr:cNvPr id="3108" name="ckbRz" hidden="1">
                <a:extLst>
                  <a:ext uri="{63B3BB69-23CF-44E3-9099-C40C66FF867C}">
                    <a14:compatExt spid="_x0000_s3108"/>
                  </a:ext>
                  <a:ext uri="{FF2B5EF4-FFF2-40B4-BE49-F238E27FC236}">
                    <a16:creationId xmlns:a16="http://schemas.microsoft.com/office/drawing/2014/main" id="{00000000-0008-0000-0200-0000240C0000}"/>
                  </a:ext>
                </a:extLst>
              </xdr:cNvPr>
              <xdr:cNvSpPr/>
            </xdr:nvSpPr>
            <xdr:spPr bwMode="auto">
              <a:xfrm>
                <a:off x="6257925" y="5419725"/>
                <a:ext cx="381000" cy="228600"/>
              </a:xfrm>
              <a:prstGeom prst="rect">
                <a:avLst/>
              </a:prstGeom>
              <a:noFill/>
              <a:ln>
                <a:noFill/>
              </a:ln>
              <a:extLst>
                <a:ext uri="{91240B29-F687-4F45-9708-019B960494DF}">
                  <a14:hiddenLine w="9525">
                    <a:noFill/>
                    <a:miter lim="800000"/>
                    <a:headEnd/>
                    <a:tailEnd/>
                  </a14:hiddenLine>
                </a:ext>
              </a:extLst>
            </xdr:spPr>
          </xdr:sp>
          <xdr:sp macro="" textlink="">
            <xdr:nvSpPr>
              <xdr:cNvPr id="3109" name="Group Box 37" hidden="1">
                <a:extLst>
                  <a:ext uri="{63B3BB69-23CF-44E3-9099-C40C66FF867C}">
                    <a14:compatExt spid="_x0000_s3109"/>
                  </a:ext>
                  <a:ext uri="{FF2B5EF4-FFF2-40B4-BE49-F238E27FC236}">
                    <a16:creationId xmlns:a16="http://schemas.microsoft.com/office/drawing/2014/main" id="{00000000-0008-0000-0200-0000250C0000}"/>
                  </a:ext>
                </a:extLst>
              </xdr:cNvPr>
              <xdr:cNvSpPr/>
            </xdr:nvSpPr>
            <xdr:spPr bwMode="auto">
              <a:xfrm>
                <a:off x="5219700" y="4743451"/>
                <a:ext cx="1676400" cy="95250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IN" sz="800" b="0" i="0" u="none" strike="noStrike" baseline="0">
                    <a:solidFill>
                      <a:srgbClr val="000000"/>
                    </a:solidFill>
                    <a:latin typeface="Segoe UI"/>
                    <a:cs typeface="Segoe UI"/>
                  </a:rPr>
                  <a:t>Support Restraints (Columns)</a:t>
                </a:r>
              </a:p>
            </xdr:txBody>
          </xdr:sp>
          <xdr:sp macro="" textlink="">
            <xdr:nvSpPr>
              <xdr:cNvPr id="3113" name="radFixed" hidden="1">
                <a:extLst>
                  <a:ext uri="{63B3BB69-23CF-44E3-9099-C40C66FF867C}">
                    <a14:compatExt spid="_x0000_s3113"/>
                  </a:ext>
                  <a:ext uri="{FF2B5EF4-FFF2-40B4-BE49-F238E27FC236}">
                    <a16:creationId xmlns:a16="http://schemas.microsoft.com/office/drawing/2014/main" id="{00000000-0008-0000-0200-0000290C0000}"/>
                  </a:ext>
                </a:extLst>
              </xdr:cNvPr>
              <xdr:cNvSpPr/>
            </xdr:nvSpPr>
            <xdr:spPr bwMode="auto">
              <a:xfrm>
                <a:off x="5257800" y="4876800"/>
                <a:ext cx="508000" cy="228600"/>
              </a:xfrm>
              <a:prstGeom prst="rect">
                <a:avLst/>
              </a:prstGeom>
              <a:noFill/>
              <a:ln>
                <a:noFill/>
              </a:ln>
              <a:extLst>
                <a:ext uri="{91240B29-F687-4F45-9708-019B960494DF}">
                  <a14:hiddenLine w="9525">
                    <a:noFill/>
                    <a:miter lim="800000"/>
                    <a:headEnd/>
                    <a:tailEnd/>
                  </a14:hiddenLine>
                </a:ext>
              </a:extLst>
            </xdr:spPr>
          </xdr:sp>
          <xdr:sp macro="" textlink="">
            <xdr:nvSpPr>
              <xdr:cNvPr id="3115" name="radPinned" hidden="1">
                <a:extLst>
                  <a:ext uri="{63B3BB69-23CF-44E3-9099-C40C66FF867C}">
                    <a14:compatExt spid="_x0000_s3115"/>
                  </a:ext>
                  <a:ext uri="{FF2B5EF4-FFF2-40B4-BE49-F238E27FC236}">
                    <a16:creationId xmlns:a16="http://schemas.microsoft.com/office/drawing/2014/main" id="{00000000-0008-0000-0200-00002B0C0000}"/>
                  </a:ext>
                </a:extLst>
              </xdr:cNvPr>
              <xdr:cNvSpPr/>
            </xdr:nvSpPr>
            <xdr:spPr bwMode="auto">
              <a:xfrm>
                <a:off x="5759450" y="4876800"/>
                <a:ext cx="571500" cy="228600"/>
              </a:xfrm>
              <a:prstGeom prst="rect">
                <a:avLst/>
              </a:prstGeom>
              <a:noFill/>
              <a:ln>
                <a:noFill/>
              </a:ln>
              <a:extLst>
                <a:ext uri="{91240B29-F687-4F45-9708-019B960494DF}">
                  <a14:hiddenLine w="9525">
                    <a:noFill/>
                    <a:miter lim="800000"/>
                    <a:headEnd/>
                    <a:tailEnd/>
                  </a14:hiddenLine>
                </a:ext>
              </a:extLst>
            </xdr:spPr>
          </xdr:sp>
          <xdr:sp macro="" textlink="">
            <xdr:nvSpPr>
              <xdr:cNvPr id="3116" name="radCustom" hidden="1">
                <a:extLst>
                  <a:ext uri="{63B3BB69-23CF-44E3-9099-C40C66FF867C}">
                    <a14:compatExt spid="_x0000_s3116"/>
                  </a:ext>
                  <a:ext uri="{FF2B5EF4-FFF2-40B4-BE49-F238E27FC236}">
                    <a16:creationId xmlns:a16="http://schemas.microsoft.com/office/drawing/2014/main" id="{00000000-0008-0000-0200-00002C0C0000}"/>
                  </a:ext>
                </a:extLst>
              </xdr:cNvPr>
              <xdr:cNvSpPr/>
            </xdr:nvSpPr>
            <xdr:spPr bwMode="auto">
              <a:xfrm>
                <a:off x="6324600" y="4876800"/>
                <a:ext cx="571500" cy="22860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28</xdr:col>
          <xdr:colOff>161925</xdr:colOff>
          <xdr:row>30</xdr:row>
          <xdr:rowOff>95250</xdr:rowOff>
        </xdr:from>
        <xdr:to>
          <xdr:col>38</xdr:col>
          <xdr:colOff>28575</xdr:colOff>
          <xdr:row>36</xdr:row>
          <xdr:rowOff>133350</xdr:rowOff>
        </xdr:to>
        <xdr:grpSp>
          <xdr:nvGrpSpPr>
            <xdr:cNvPr id="23" name="Group 22">
              <a:extLst>
                <a:ext uri="{FF2B5EF4-FFF2-40B4-BE49-F238E27FC236}">
                  <a16:creationId xmlns:a16="http://schemas.microsoft.com/office/drawing/2014/main" id="{00000000-0008-0000-0200-000017000000}"/>
                </a:ext>
              </a:extLst>
            </xdr:cNvPr>
            <xdr:cNvGrpSpPr/>
          </xdr:nvGrpSpPr>
          <xdr:grpSpPr>
            <a:xfrm>
              <a:off x="5219700" y="4819650"/>
              <a:ext cx="1676400" cy="952500"/>
              <a:chOff x="5219700" y="4743451"/>
              <a:chExt cx="1676400" cy="952500"/>
            </a:xfrm>
          </xdr:grpSpPr>
          <xdr:sp macro="" textlink="">
            <xdr:nvSpPr>
              <xdr:cNvPr id="3118" name="ckbTxCC" hidden="1">
                <a:extLst>
                  <a:ext uri="{63B3BB69-23CF-44E3-9099-C40C66FF867C}">
                    <a14:compatExt spid="_x0000_s3118"/>
                  </a:ext>
                  <a:ext uri="{FF2B5EF4-FFF2-40B4-BE49-F238E27FC236}">
                    <a16:creationId xmlns:a16="http://schemas.microsoft.com/office/drawing/2014/main" id="{00000000-0008-0000-0200-00002E0C0000}"/>
                  </a:ext>
                </a:extLst>
              </xdr:cNvPr>
              <xdr:cNvSpPr/>
            </xdr:nvSpPr>
            <xdr:spPr bwMode="auto">
              <a:xfrm>
                <a:off x="5314950" y="5191125"/>
                <a:ext cx="381000" cy="228600"/>
              </a:xfrm>
              <a:prstGeom prst="rect">
                <a:avLst/>
              </a:prstGeom>
              <a:noFill/>
              <a:ln>
                <a:noFill/>
              </a:ln>
              <a:extLst>
                <a:ext uri="{91240B29-F687-4F45-9708-019B960494DF}">
                  <a14:hiddenLine w="9525">
                    <a:noFill/>
                    <a:miter lim="800000"/>
                    <a:headEnd/>
                    <a:tailEnd/>
                  </a14:hiddenLine>
                </a:ext>
              </a:extLst>
            </xdr:spPr>
          </xdr:sp>
          <xdr:sp macro="" textlink="">
            <xdr:nvSpPr>
              <xdr:cNvPr id="3119" name="ckbTyCC" hidden="1">
                <a:extLst>
                  <a:ext uri="{63B3BB69-23CF-44E3-9099-C40C66FF867C}">
                    <a14:compatExt spid="_x0000_s3119"/>
                  </a:ext>
                  <a:ext uri="{FF2B5EF4-FFF2-40B4-BE49-F238E27FC236}">
                    <a16:creationId xmlns:a16="http://schemas.microsoft.com/office/drawing/2014/main" id="{00000000-0008-0000-0200-00002F0C0000}"/>
                  </a:ext>
                </a:extLst>
              </xdr:cNvPr>
              <xdr:cNvSpPr/>
            </xdr:nvSpPr>
            <xdr:spPr bwMode="auto">
              <a:xfrm>
                <a:off x="5785485" y="5191125"/>
                <a:ext cx="381000" cy="228600"/>
              </a:xfrm>
              <a:prstGeom prst="rect">
                <a:avLst/>
              </a:prstGeom>
              <a:noFill/>
              <a:ln>
                <a:noFill/>
              </a:ln>
              <a:extLst>
                <a:ext uri="{91240B29-F687-4F45-9708-019B960494DF}">
                  <a14:hiddenLine w="9525">
                    <a:noFill/>
                    <a:miter lim="800000"/>
                    <a:headEnd/>
                    <a:tailEnd/>
                  </a14:hiddenLine>
                </a:ext>
              </a:extLst>
            </xdr:spPr>
          </xdr:sp>
          <xdr:sp macro="" textlink="">
            <xdr:nvSpPr>
              <xdr:cNvPr id="3120" name="ckbTzCC" hidden="1">
                <a:extLst>
                  <a:ext uri="{63B3BB69-23CF-44E3-9099-C40C66FF867C}">
                    <a14:compatExt spid="_x0000_s3120"/>
                  </a:ext>
                  <a:ext uri="{FF2B5EF4-FFF2-40B4-BE49-F238E27FC236}">
                    <a16:creationId xmlns:a16="http://schemas.microsoft.com/office/drawing/2014/main" id="{00000000-0008-0000-0200-0000300C0000}"/>
                  </a:ext>
                </a:extLst>
              </xdr:cNvPr>
              <xdr:cNvSpPr/>
            </xdr:nvSpPr>
            <xdr:spPr bwMode="auto">
              <a:xfrm>
                <a:off x="6256020" y="5191125"/>
                <a:ext cx="381000" cy="228600"/>
              </a:xfrm>
              <a:prstGeom prst="rect">
                <a:avLst/>
              </a:prstGeom>
              <a:noFill/>
              <a:ln>
                <a:noFill/>
              </a:ln>
              <a:extLst>
                <a:ext uri="{91240B29-F687-4F45-9708-019B960494DF}">
                  <a14:hiddenLine w="9525">
                    <a:noFill/>
                    <a:miter lim="800000"/>
                    <a:headEnd/>
                    <a:tailEnd/>
                  </a14:hiddenLine>
                </a:ext>
              </a:extLst>
            </xdr:spPr>
          </xdr:sp>
          <xdr:sp macro="" textlink="">
            <xdr:nvSpPr>
              <xdr:cNvPr id="3121" name="ckbRxCC" hidden="1">
                <a:extLst>
                  <a:ext uri="{63B3BB69-23CF-44E3-9099-C40C66FF867C}">
                    <a14:compatExt spid="_x0000_s3121"/>
                  </a:ext>
                  <a:ext uri="{FF2B5EF4-FFF2-40B4-BE49-F238E27FC236}">
                    <a16:creationId xmlns:a16="http://schemas.microsoft.com/office/drawing/2014/main" id="{00000000-0008-0000-0200-0000310C0000}"/>
                  </a:ext>
                </a:extLst>
              </xdr:cNvPr>
              <xdr:cNvSpPr/>
            </xdr:nvSpPr>
            <xdr:spPr bwMode="auto">
              <a:xfrm>
                <a:off x="5316855" y="5419725"/>
                <a:ext cx="381000" cy="228600"/>
              </a:xfrm>
              <a:prstGeom prst="rect">
                <a:avLst/>
              </a:prstGeom>
              <a:noFill/>
              <a:ln>
                <a:noFill/>
              </a:ln>
              <a:extLst>
                <a:ext uri="{91240B29-F687-4F45-9708-019B960494DF}">
                  <a14:hiddenLine w="9525">
                    <a:noFill/>
                    <a:miter lim="800000"/>
                    <a:headEnd/>
                    <a:tailEnd/>
                  </a14:hiddenLine>
                </a:ext>
              </a:extLst>
            </xdr:spPr>
          </xdr:sp>
          <xdr:sp macro="" textlink="">
            <xdr:nvSpPr>
              <xdr:cNvPr id="3122" name="ckbRyCC" hidden="1">
                <a:extLst>
                  <a:ext uri="{63B3BB69-23CF-44E3-9099-C40C66FF867C}">
                    <a14:compatExt spid="_x0000_s3122"/>
                  </a:ext>
                  <a:ext uri="{FF2B5EF4-FFF2-40B4-BE49-F238E27FC236}">
                    <a16:creationId xmlns:a16="http://schemas.microsoft.com/office/drawing/2014/main" id="{00000000-0008-0000-0200-0000320C0000}"/>
                  </a:ext>
                </a:extLst>
              </xdr:cNvPr>
              <xdr:cNvSpPr/>
            </xdr:nvSpPr>
            <xdr:spPr bwMode="auto">
              <a:xfrm>
                <a:off x="5787390" y="5419725"/>
                <a:ext cx="381000" cy="228600"/>
              </a:xfrm>
              <a:prstGeom prst="rect">
                <a:avLst/>
              </a:prstGeom>
              <a:noFill/>
              <a:ln>
                <a:noFill/>
              </a:ln>
              <a:extLst>
                <a:ext uri="{91240B29-F687-4F45-9708-019B960494DF}">
                  <a14:hiddenLine w="9525">
                    <a:noFill/>
                    <a:miter lim="800000"/>
                    <a:headEnd/>
                    <a:tailEnd/>
                  </a14:hiddenLine>
                </a:ext>
              </a:extLst>
            </xdr:spPr>
          </xdr:sp>
          <xdr:sp macro="" textlink="">
            <xdr:nvSpPr>
              <xdr:cNvPr id="3123" name="ckbRzCC" hidden="1">
                <a:extLst>
                  <a:ext uri="{63B3BB69-23CF-44E3-9099-C40C66FF867C}">
                    <a14:compatExt spid="_x0000_s3123"/>
                  </a:ext>
                  <a:ext uri="{FF2B5EF4-FFF2-40B4-BE49-F238E27FC236}">
                    <a16:creationId xmlns:a16="http://schemas.microsoft.com/office/drawing/2014/main" id="{00000000-0008-0000-0200-0000330C0000}"/>
                  </a:ext>
                </a:extLst>
              </xdr:cNvPr>
              <xdr:cNvSpPr/>
            </xdr:nvSpPr>
            <xdr:spPr bwMode="auto">
              <a:xfrm>
                <a:off x="6257925" y="5419725"/>
                <a:ext cx="381000" cy="228600"/>
              </a:xfrm>
              <a:prstGeom prst="rect">
                <a:avLst/>
              </a:prstGeom>
              <a:noFill/>
              <a:ln>
                <a:noFill/>
              </a:ln>
              <a:extLst>
                <a:ext uri="{91240B29-F687-4F45-9708-019B960494DF}">
                  <a14:hiddenLine w="9525">
                    <a:noFill/>
                    <a:miter lim="800000"/>
                    <a:headEnd/>
                    <a:tailEnd/>
                  </a14:hiddenLine>
                </a:ext>
              </a:extLst>
            </xdr:spPr>
          </xdr:sp>
          <xdr:sp macro="" textlink="">
            <xdr:nvSpPr>
              <xdr:cNvPr id="3124" name="Group Box 52" hidden="1">
                <a:extLst>
                  <a:ext uri="{63B3BB69-23CF-44E3-9099-C40C66FF867C}">
                    <a14:compatExt spid="_x0000_s3124"/>
                  </a:ext>
                  <a:ext uri="{FF2B5EF4-FFF2-40B4-BE49-F238E27FC236}">
                    <a16:creationId xmlns:a16="http://schemas.microsoft.com/office/drawing/2014/main" id="{00000000-0008-0000-0200-0000340C0000}"/>
                  </a:ext>
                </a:extLst>
              </xdr:cNvPr>
              <xdr:cNvSpPr/>
            </xdr:nvSpPr>
            <xdr:spPr bwMode="auto">
              <a:xfrm>
                <a:off x="5219700" y="4743451"/>
                <a:ext cx="1676400" cy="95250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IN" sz="800" b="0" i="0" u="none" strike="noStrike" baseline="0">
                    <a:solidFill>
                      <a:srgbClr val="000000"/>
                    </a:solidFill>
                    <a:latin typeface="Segoe UI"/>
                    <a:cs typeface="Segoe UI"/>
                  </a:rPr>
                  <a:t>Support Restraints (CC)</a:t>
                </a:r>
              </a:p>
            </xdr:txBody>
          </xdr:sp>
          <xdr:sp macro="" textlink="">
            <xdr:nvSpPr>
              <xdr:cNvPr id="3126" name="radPinnedCC" hidden="1">
                <a:extLst>
                  <a:ext uri="{63B3BB69-23CF-44E3-9099-C40C66FF867C}">
                    <a14:compatExt spid="_x0000_s3126"/>
                  </a:ext>
                  <a:ext uri="{FF2B5EF4-FFF2-40B4-BE49-F238E27FC236}">
                    <a16:creationId xmlns:a16="http://schemas.microsoft.com/office/drawing/2014/main" id="{00000000-0008-0000-0200-0000360C0000}"/>
                  </a:ext>
                </a:extLst>
              </xdr:cNvPr>
              <xdr:cNvSpPr/>
            </xdr:nvSpPr>
            <xdr:spPr bwMode="auto">
              <a:xfrm>
                <a:off x="5302250" y="4876800"/>
                <a:ext cx="571500" cy="228600"/>
              </a:xfrm>
              <a:prstGeom prst="rect">
                <a:avLst/>
              </a:prstGeom>
              <a:noFill/>
              <a:ln>
                <a:noFill/>
              </a:ln>
              <a:extLst>
                <a:ext uri="{91240B29-F687-4F45-9708-019B960494DF}">
                  <a14:hiddenLine w="9525">
                    <a:noFill/>
                    <a:miter lim="800000"/>
                    <a:headEnd/>
                    <a:tailEnd/>
                  </a14:hiddenLine>
                </a:ext>
              </a:extLst>
            </xdr:spPr>
          </xdr:sp>
          <xdr:sp macro="" textlink="">
            <xdr:nvSpPr>
              <xdr:cNvPr id="3127" name="radCustomCC" hidden="1">
                <a:extLst>
                  <a:ext uri="{63B3BB69-23CF-44E3-9099-C40C66FF867C}">
                    <a14:compatExt spid="_x0000_s3127"/>
                  </a:ext>
                  <a:ext uri="{FF2B5EF4-FFF2-40B4-BE49-F238E27FC236}">
                    <a16:creationId xmlns:a16="http://schemas.microsoft.com/office/drawing/2014/main" id="{00000000-0008-0000-0200-0000370C0000}"/>
                  </a:ext>
                </a:extLst>
              </xdr:cNvPr>
              <xdr:cNvSpPr/>
            </xdr:nvSpPr>
            <xdr:spPr bwMode="auto">
              <a:xfrm>
                <a:off x="5867400" y="4876800"/>
                <a:ext cx="571500" cy="22860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pdated/AISC360%20Member%20Design%20(Non%20HSS)%20v1.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 History"/>
      <sheetName val="Summary"/>
      <sheetName val="Calcs"/>
      <sheetName val="ProfilesList"/>
    </sheetNames>
    <sheetDataSet>
      <sheetData sheetId="0"/>
      <sheetData sheetId="1">
        <row r="1">
          <cell r="G1" t="str">
            <v>J1705-S-C-0001</v>
          </cell>
          <cell r="AO1" t="str">
            <v>Srinivas</v>
          </cell>
        </row>
        <row r="2">
          <cell r="AO2" t="str">
            <v>Srinivas</v>
          </cell>
        </row>
        <row r="3">
          <cell r="G3" t="str">
            <v>Renovation of the Covering Shed</v>
          </cell>
          <cell r="AO3" t="str">
            <v>Srinivas</v>
          </cell>
          <cell r="AR3" t="str">
            <v>A</v>
          </cell>
          <cell r="AV3" t="str">
            <v>A</v>
          </cell>
        </row>
        <row r="4">
          <cell r="G4" t="str">
            <v>M/s Gammon India Ltd.</v>
          </cell>
          <cell r="AK4" t="str">
            <v>AISC 360-10 v1.2</v>
          </cell>
          <cell r="AR4">
            <v>42912</v>
          </cell>
          <cell r="AV4">
            <v>43128</v>
          </cell>
        </row>
      </sheetData>
      <sheetData sheetId="2">
        <row r="6">
          <cell r="M6" t="str">
            <v>European</v>
          </cell>
          <cell r="R6" t="str">
            <v>HE Sections</v>
          </cell>
          <cell r="W6" t="str">
            <v>HE280AAx61.2</v>
          </cell>
        </row>
        <row r="9">
          <cell r="I9">
            <v>7802</v>
          </cell>
        </row>
        <row r="10">
          <cell r="I10">
            <v>264</v>
          </cell>
        </row>
        <row r="11">
          <cell r="I11">
            <v>280</v>
          </cell>
        </row>
        <row r="12">
          <cell r="I12">
            <v>10</v>
          </cell>
        </row>
        <row r="13">
          <cell r="I13">
            <v>7</v>
          </cell>
        </row>
        <row r="14">
          <cell r="I14">
            <v>34</v>
          </cell>
        </row>
        <row r="26">
          <cell r="S26">
            <v>315</v>
          </cell>
          <cell r="W26">
            <v>425</v>
          </cell>
          <cell r="AB26">
            <v>200000</v>
          </cell>
        </row>
        <row r="90">
          <cell r="X90" t="str">
            <v>ASD</v>
          </cell>
        </row>
        <row r="160">
          <cell r="V160">
            <v>1</v>
          </cell>
        </row>
        <row r="174">
          <cell r="V174">
            <v>1</v>
          </cell>
        </row>
      </sheetData>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ctrlProp" Target="../ctrlProps/ctrlProp2.xml"/><Relationship Id="rId2" Type="http://schemas.openxmlformats.org/officeDocument/2006/relationships/drawing" Target="../drawings/drawing2.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9.emf"/><Relationship Id="rId54" Type="http://schemas.openxmlformats.org/officeDocument/2006/relationships/control" Target="../activeX/activeX26.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trlProp" Target="../ctrlProps/ctrlProp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mments" Target="../comments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ersionHistory"/>
  <dimension ref="A1:BK59"/>
  <sheetViews>
    <sheetView showGridLines="0" zoomScaleNormal="100" workbookViewId="0">
      <selection activeCell="X5" sqref="X5"/>
    </sheetView>
  </sheetViews>
  <sheetFormatPr defaultColWidth="3.1640625" defaultRowHeight="10.5" x14ac:dyDescent="0.15"/>
  <cols>
    <col min="1" max="1" width="2" style="62" customWidth="1"/>
    <col min="2" max="9" width="3.1640625" style="62"/>
    <col min="10" max="10" width="3.6640625" style="62" bestFit="1" customWidth="1"/>
    <col min="11" max="19" width="3.1640625" style="62"/>
    <col min="20" max="20" width="3.1640625" style="62" customWidth="1"/>
    <col min="21" max="22" width="3.1640625" style="62"/>
    <col min="23" max="23" width="3.83203125" style="62" customWidth="1"/>
    <col min="24" max="24" width="3.1640625" style="62"/>
    <col min="25" max="25" width="3.6640625" style="62" bestFit="1" customWidth="1"/>
    <col min="26" max="40" width="3.1640625" style="62"/>
    <col min="41" max="41" width="6.33203125" style="62" bestFit="1" customWidth="1"/>
    <col min="42" max="52" width="3.1640625" style="62"/>
    <col min="53" max="53" width="10" style="62" customWidth="1"/>
    <col min="54" max="54" width="7.6640625" style="62" bestFit="1" customWidth="1"/>
    <col min="55" max="55" width="55" style="62" bestFit="1" customWidth="1"/>
    <col min="56" max="56" width="7.6640625" style="62" bestFit="1" customWidth="1"/>
    <col min="57" max="57" width="11.33203125" style="62" bestFit="1" customWidth="1"/>
    <col min="58" max="58" width="9.33203125" style="62" bestFit="1" customWidth="1"/>
    <col min="59" max="59" width="8.33203125" style="62" bestFit="1" customWidth="1"/>
    <col min="60" max="61" width="9.5" style="62" bestFit="1" customWidth="1"/>
    <col min="62" max="62" width="9.33203125" style="62" bestFit="1" customWidth="1"/>
    <col min="63" max="16384" width="3.1640625" style="62"/>
  </cols>
  <sheetData>
    <row r="1" spans="1:63" ht="15" customHeight="1" x14ac:dyDescent="0.15">
      <c r="A1" s="64"/>
      <c r="B1" s="142" t="s">
        <v>0</v>
      </c>
      <c r="C1" s="142"/>
      <c r="D1" s="142"/>
      <c r="E1" s="142"/>
      <c r="F1" s="63" t="s">
        <v>1</v>
      </c>
      <c r="G1" s="142" t="s">
        <v>18</v>
      </c>
      <c r="H1" s="142"/>
      <c r="I1" s="142"/>
      <c r="J1" s="142"/>
      <c r="K1" s="142"/>
      <c r="L1" s="142"/>
      <c r="M1" s="142"/>
      <c r="N1" s="142"/>
      <c r="O1" s="142"/>
      <c r="P1" s="142"/>
      <c r="Q1" s="142"/>
      <c r="R1" s="142"/>
      <c r="S1" s="142"/>
      <c r="T1" s="142"/>
      <c r="U1" s="142"/>
      <c r="V1" s="142"/>
      <c r="W1" s="143"/>
      <c r="X1" s="144" t="s">
        <v>3</v>
      </c>
      <c r="Y1" s="142"/>
      <c r="Z1" s="142"/>
      <c r="AA1" s="63" t="s">
        <v>1</v>
      </c>
      <c r="AB1" s="145" t="s">
        <v>4</v>
      </c>
      <c r="AC1" s="145"/>
      <c r="AD1" s="146"/>
      <c r="AE1" s="147" t="s">
        <v>5</v>
      </c>
      <c r="AF1" s="147"/>
      <c r="AG1" s="147"/>
      <c r="AH1" s="147"/>
      <c r="AI1" s="147"/>
      <c r="AJ1" s="147"/>
      <c r="AK1" s="147"/>
      <c r="AL1" s="147"/>
    </row>
    <row r="2" spans="1:63" ht="15" customHeight="1" thickBot="1" x14ac:dyDescent="0.2">
      <c r="A2" s="64"/>
      <c r="B2" s="142" t="s">
        <v>6</v>
      </c>
      <c r="C2" s="142"/>
      <c r="D2" s="142"/>
      <c r="E2" s="142"/>
      <c r="F2" s="63" t="s">
        <v>1</v>
      </c>
      <c r="G2" s="142" t="s">
        <v>142</v>
      </c>
      <c r="H2" s="142"/>
      <c r="I2" s="142"/>
      <c r="J2" s="142"/>
      <c r="K2" s="142"/>
      <c r="L2" s="142"/>
      <c r="M2" s="142"/>
      <c r="N2" s="142"/>
      <c r="O2" s="142"/>
      <c r="P2" s="142"/>
      <c r="Q2" s="142"/>
      <c r="R2" s="142"/>
      <c r="S2" s="142"/>
      <c r="T2" s="142"/>
      <c r="U2" s="142"/>
      <c r="V2" s="142"/>
      <c r="W2" s="143"/>
      <c r="X2" s="144" t="s">
        <v>8</v>
      </c>
      <c r="Y2" s="142"/>
      <c r="Z2" s="142"/>
      <c r="AA2" s="63" t="s">
        <v>1</v>
      </c>
      <c r="AB2" s="145" t="s">
        <v>4</v>
      </c>
      <c r="AC2" s="145"/>
      <c r="AD2" s="146"/>
      <c r="AE2" s="147" t="s">
        <v>10</v>
      </c>
      <c r="AF2" s="147"/>
      <c r="AG2" s="147"/>
      <c r="AH2" s="147"/>
      <c r="AI2" s="147" t="s">
        <v>11</v>
      </c>
      <c r="AJ2" s="147"/>
      <c r="AK2" s="147"/>
      <c r="AL2" s="147"/>
      <c r="AN2" s="102" t="s">
        <v>143</v>
      </c>
      <c r="AO2" s="103"/>
      <c r="AP2" s="104"/>
      <c r="AQ2" s="104"/>
      <c r="AR2" s="105"/>
    </row>
    <row r="3" spans="1:63" ht="15" customHeight="1" x14ac:dyDescent="0.15">
      <c r="A3" s="64"/>
      <c r="B3" s="142" t="s">
        <v>12</v>
      </c>
      <c r="C3" s="142"/>
      <c r="D3" s="142"/>
      <c r="E3" s="142"/>
      <c r="F3" s="63" t="s">
        <v>1</v>
      </c>
      <c r="G3" s="142" t="s">
        <v>18</v>
      </c>
      <c r="H3" s="142"/>
      <c r="I3" s="142"/>
      <c r="J3" s="142"/>
      <c r="K3" s="142"/>
      <c r="L3" s="142"/>
      <c r="M3" s="142"/>
      <c r="N3" s="142"/>
      <c r="O3" s="142"/>
      <c r="P3" s="142"/>
      <c r="Q3" s="142"/>
      <c r="R3" s="142"/>
      <c r="S3" s="142"/>
      <c r="T3" s="142"/>
      <c r="U3" s="142"/>
      <c r="V3" s="142"/>
      <c r="W3" s="143"/>
      <c r="X3" s="144" t="s">
        <v>14</v>
      </c>
      <c r="Y3" s="142"/>
      <c r="Z3" s="142"/>
      <c r="AA3" s="63" t="s">
        <v>1</v>
      </c>
      <c r="AB3" s="145" t="s">
        <v>4</v>
      </c>
      <c r="AC3" s="145"/>
      <c r="AD3" s="146"/>
      <c r="AE3" s="147" t="s">
        <v>16</v>
      </c>
      <c r="AF3" s="147"/>
      <c r="AG3" s="147"/>
      <c r="AH3" s="147"/>
      <c r="AI3" s="147" t="s">
        <v>16</v>
      </c>
      <c r="AJ3" s="147"/>
      <c r="AK3" s="147"/>
      <c r="AL3" s="147"/>
    </row>
    <row r="4" spans="1:63" ht="15" customHeight="1" x14ac:dyDescent="0.15">
      <c r="A4" s="64"/>
      <c r="B4" s="142" t="s">
        <v>17</v>
      </c>
      <c r="C4" s="142"/>
      <c r="D4" s="142"/>
      <c r="E4" s="142"/>
      <c r="F4" s="63" t="s">
        <v>1</v>
      </c>
      <c r="G4" s="155" t="s">
        <v>18</v>
      </c>
      <c r="H4" s="155"/>
      <c r="I4" s="155"/>
      <c r="J4" s="155"/>
      <c r="K4" s="155"/>
      <c r="L4" s="155"/>
      <c r="M4" s="155"/>
      <c r="N4" s="155"/>
      <c r="O4" s="155"/>
      <c r="P4" s="155"/>
      <c r="Q4" s="155"/>
      <c r="R4" s="155"/>
      <c r="S4" s="155"/>
      <c r="T4" s="155"/>
      <c r="U4" s="155"/>
      <c r="V4" s="155"/>
      <c r="W4" s="156"/>
      <c r="X4" s="157" t="s">
        <v>217</v>
      </c>
      <c r="Y4" s="158"/>
      <c r="Z4" s="158"/>
      <c r="AA4" s="158"/>
      <c r="AB4" s="158"/>
      <c r="AC4" s="158"/>
      <c r="AD4" s="159"/>
      <c r="AE4" s="160">
        <v>43128</v>
      </c>
      <c r="AF4" s="160"/>
      <c r="AG4" s="160"/>
      <c r="AH4" s="160"/>
      <c r="AI4" s="160">
        <f ca="1">TODAY()</f>
        <v>43672</v>
      </c>
      <c r="AJ4" s="160"/>
      <c r="AK4" s="160"/>
      <c r="AL4" s="160"/>
      <c r="AS4" s="106"/>
    </row>
    <row r="5" spans="1:63" x14ac:dyDescent="0.15">
      <c r="A5" s="74"/>
      <c r="B5" s="75"/>
      <c r="C5" s="75"/>
      <c r="D5" s="75"/>
      <c r="E5" s="75"/>
      <c r="F5" s="75"/>
      <c r="G5" s="75"/>
      <c r="H5" s="75"/>
      <c r="I5" s="75"/>
      <c r="J5" s="75"/>
      <c r="K5" s="75"/>
      <c r="L5" s="75"/>
      <c r="M5" s="75"/>
      <c r="N5" s="75"/>
      <c r="O5" s="75"/>
      <c r="P5" s="75"/>
      <c r="Q5" s="75"/>
      <c r="R5" s="75"/>
      <c r="S5" s="75"/>
      <c r="T5" s="75"/>
      <c r="U5" s="75"/>
      <c r="V5" s="75"/>
      <c r="W5" s="75"/>
      <c r="X5" s="75"/>
      <c r="Y5" s="75"/>
      <c r="Z5" s="75"/>
      <c r="AA5" s="75"/>
      <c r="AB5" s="75"/>
      <c r="AC5" s="75"/>
      <c r="AD5" s="75"/>
      <c r="AE5" s="75"/>
      <c r="AF5" s="75"/>
      <c r="AG5" s="75"/>
      <c r="AH5" s="75"/>
      <c r="AI5" s="75"/>
      <c r="AJ5" s="75"/>
      <c r="AK5" s="75"/>
      <c r="AL5" s="76"/>
      <c r="AS5" s="106"/>
    </row>
    <row r="6" spans="1:63" x14ac:dyDescent="0.15">
      <c r="A6" s="66"/>
      <c r="B6" s="65" t="s">
        <v>144</v>
      </c>
      <c r="AL6" s="67"/>
    </row>
    <row r="7" spans="1:63" x14ac:dyDescent="0.15">
      <c r="A7" s="66"/>
      <c r="AL7" s="67"/>
    </row>
    <row r="8" spans="1:63" ht="12.75" x14ac:dyDescent="0.15">
      <c r="A8" s="66"/>
      <c r="B8" s="148" t="s">
        <v>145</v>
      </c>
      <c r="C8" s="149"/>
      <c r="D8" s="149"/>
      <c r="E8" s="150"/>
      <c r="F8" s="151" t="s">
        <v>146</v>
      </c>
      <c r="G8" s="152"/>
      <c r="H8" s="152"/>
      <c r="I8" s="152"/>
      <c r="J8" s="152"/>
      <c r="K8" s="152"/>
      <c r="L8" s="152"/>
      <c r="M8" s="152"/>
      <c r="N8" s="152"/>
      <c r="O8" s="152"/>
      <c r="P8" s="152"/>
      <c r="Q8" s="152"/>
      <c r="R8" s="152"/>
      <c r="S8" s="152"/>
      <c r="T8" s="153"/>
      <c r="U8" s="148" t="s">
        <v>147</v>
      </c>
      <c r="V8" s="149"/>
      <c r="W8" s="149"/>
      <c r="X8" s="150"/>
      <c r="Y8" s="151" t="s">
        <v>148</v>
      </c>
      <c r="Z8" s="154"/>
      <c r="AA8" s="154"/>
      <c r="AB8" s="154"/>
      <c r="AC8" s="154"/>
      <c r="AD8" s="154"/>
      <c r="AE8" s="154"/>
      <c r="AF8" s="154"/>
      <c r="AG8" s="154"/>
      <c r="AH8" s="154"/>
      <c r="AI8" s="154"/>
      <c r="AJ8" s="154"/>
      <c r="AK8" s="153"/>
      <c r="AL8" s="67"/>
      <c r="AO8" s="107"/>
      <c r="AP8" s="107"/>
      <c r="AQ8" s="107"/>
      <c r="AR8" s="107"/>
      <c r="AT8" s="107"/>
      <c r="AU8" s="107"/>
      <c r="AV8" s="107"/>
      <c r="AW8" s="65"/>
    </row>
    <row r="9" spans="1:63" ht="12.75" x14ac:dyDescent="0.15">
      <c r="A9" s="66"/>
      <c r="B9" s="161">
        <v>1</v>
      </c>
      <c r="C9" s="162"/>
      <c r="D9" s="162"/>
      <c r="E9" s="163"/>
      <c r="F9" s="164" t="s">
        <v>149</v>
      </c>
      <c r="G9" s="152"/>
      <c r="H9" s="152"/>
      <c r="I9" s="152"/>
      <c r="J9" s="152"/>
      <c r="K9" s="152"/>
      <c r="L9" s="152"/>
      <c r="M9" s="152"/>
      <c r="N9" s="152"/>
      <c r="O9" s="152"/>
      <c r="P9" s="152"/>
      <c r="Q9" s="152"/>
      <c r="R9" s="152"/>
      <c r="S9" s="152"/>
      <c r="T9" s="153"/>
      <c r="U9" s="165">
        <v>43128</v>
      </c>
      <c r="V9" s="166"/>
      <c r="W9" s="166"/>
      <c r="X9" s="167"/>
      <c r="Y9" s="164" t="s">
        <v>18</v>
      </c>
      <c r="Z9" s="152"/>
      <c r="AA9" s="152"/>
      <c r="AB9" s="152"/>
      <c r="AC9" s="152"/>
      <c r="AD9" s="152"/>
      <c r="AE9" s="152"/>
      <c r="AF9" s="152"/>
      <c r="AG9" s="152"/>
      <c r="AH9" s="152"/>
      <c r="AI9" s="152"/>
      <c r="AJ9" s="152"/>
      <c r="AK9" s="153"/>
      <c r="AL9" s="67"/>
      <c r="AN9" s="108"/>
      <c r="AO9" s="107"/>
      <c r="AP9" s="107"/>
      <c r="AQ9" s="107"/>
      <c r="AR9" s="107"/>
      <c r="AT9" s="107"/>
      <c r="AU9" s="107"/>
      <c r="AV9" s="107"/>
      <c r="AW9" s="101"/>
      <c r="AX9" s="109"/>
      <c r="AY9" s="109"/>
      <c r="AZ9" s="109"/>
      <c r="BA9" s="101"/>
      <c r="BB9" s="110"/>
      <c r="BC9" s="111"/>
      <c r="BD9" s="111"/>
      <c r="BE9" s="111"/>
      <c r="BF9" s="111"/>
      <c r="BG9" s="111"/>
      <c r="BH9" s="111"/>
      <c r="BI9" s="111"/>
      <c r="BJ9" s="111"/>
      <c r="BK9" s="111"/>
    </row>
    <row r="10" spans="1:63" ht="12.75" x14ac:dyDescent="0.15">
      <c r="A10" s="66"/>
      <c r="B10" s="168">
        <v>1.1000000000000001</v>
      </c>
      <c r="C10" s="169"/>
      <c r="D10" s="169"/>
      <c r="E10" s="170"/>
      <c r="F10" s="174" t="s">
        <v>166</v>
      </c>
      <c r="G10" s="175"/>
      <c r="H10" s="175"/>
      <c r="I10" s="175"/>
      <c r="J10" s="175"/>
      <c r="K10" s="175"/>
      <c r="L10" s="175"/>
      <c r="M10" s="175"/>
      <c r="N10" s="175"/>
      <c r="O10" s="175"/>
      <c r="P10" s="175"/>
      <c r="Q10" s="175"/>
      <c r="R10" s="175"/>
      <c r="S10" s="175"/>
      <c r="T10" s="176"/>
      <c r="U10" s="177">
        <v>43145</v>
      </c>
      <c r="V10" s="178"/>
      <c r="W10" s="178"/>
      <c r="X10" s="179"/>
      <c r="Y10" s="180" t="s">
        <v>167</v>
      </c>
      <c r="Z10" s="181"/>
      <c r="AA10" s="181"/>
      <c r="AB10" s="181"/>
      <c r="AC10" s="181"/>
      <c r="AD10" s="181"/>
      <c r="AE10" s="181"/>
      <c r="AF10" s="181"/>
      <c r="AG10" s="181"/>
      <c r="AH10" s="181"/>
      <c r="AI10" s="181"/>
      <c r="AJ10" s="181"/>
      <c r="AK10" s="182"/>
      <c r="AL10" s="67"/>
      <c r="AO10" s="107"/>
      <c r="AP10" s="107"/>
      <c r="AQ10" s="107"/>
      <c r="AR10" s="107"/>
      <c r="AW10" s="101"/>
      <c r="AX10" s="109"/>
      <c r="AY10" s="109"/>
      <c r="AZ10" s="109"/>
      <c r="BA10" s="101"/>
      <c r="BB10" s="110"/>
      <c r="BC10" s="111"/>
      <c r="BD10" s="111"/>
      <c r="BE10" s="111"/>
      <c r="BF10" s="111"/>
      <c r="BG10" s="111"/>
      <c r="BH10" s="111"/>
      <c r="BI10" s="111"/>
      <c r="BJ10" s="111"/>
      <c r="BK10" s="111"/>
    </row>
    <row r="11" spans="1:63" ht="12.75" x14ac:dyDescent="0.15">
      <c r="A11" s="66"/>
      <c r="B11" s="171"/>
      <c r="C11" s="172"/>
      <c r="D11" s="172"/>
      <c r="E11" s="173"/>
      <c r="F11" s="171"/>
      <c r="G11" s="172"/>
      <c r="H11" s="172"/>
      <c r="I11" s="172"/>
      <c r="J11" s="172"/>
      <c r="K11" s="172"/>
      <c r="L11" s="172"/>
      <c r="M11" s="172"/>
      <c r="N11" s="172"/>
      <c r="O11" s="172"/>
      <c r="P11" s="172"/>
      <c r="Q11" s="172"/>
      <c r="R11" s="172"/>
      <c r="S11" s="172"/>
      <c r="T11" s="173"/>
      <c r="U11" s="171"/>
      <c r="V11" s="172"/>
      <c r="W11" s="172"/>
      <c r="X11" s="173"/>
      <c r="Y11" s="183"/>
      <c r="Z11" s="184"/>
      <c r="AA11" s="184"/>
      <c r="AB11" s="184"/>
      <c r="AC11" s="184"/>
      <c r="AD11" s="184"/>
      <c r="AE11" s="184"/>
      <c r="AF11" s="184"/>
      <c r="AG11" s="184"/>
      <c r="AH11" s="184"/>
      <c r="AI11" s="184"/>
      <c r="AJ11" s="184"/>
      <c r="AK11" s="185"/>
      <c r="AL11" s="67"/>
      <c r="AO11" s="107"/>
      <c r="AP11" s="107"/>
      <c r="AQ11" s="107"/>
      <c r="AR11" s="107"/>
      <c r="AW11" s="101"/>
      <c r="AX11" s="109"/>
      <c r="AY11" s="109"/>
      <c r="AZ11" s="109"/>
      <c r="BA11" s="101"/>
      <c r="BB11" s="110"/>
      <c r="BC11" s="111"/>
      <c r="BD11" s="111"/>
      <c r="BE11" s="111"/>
      <c r="BF11" s="111"/>
      <c r="BG11" s="111"/>
      <c r="BH11" s="111"/>
      <c r="BI11" s="111"/>
      <c r="BJ11" s="111"/>
      <c r="BK11" s="111"/>
    </row>
    <row r="12" spans="1:63" ht="12.75" x14ac:dyDescent="0.15">
      <c r="A12" s="66"/>
      <c r="B12" s="168">
        <v>1.2</v>
      </c>
      <c r="C12" s="169"/>
      <c r="D12" s="169"/>
      <c r="E12" s="170"/>
      <c r="F12" s="174" t="s">
        <v>171</v>
      </c>
      <c r="G12" s="175"/>
      <c r="H12" s="175"/>
      <c r="I12" s="175"/>
      <c r="J12" s="175"/>
      <c r="K12" s="175"/>
      <c r="L12" s="175"/>
      <c r="M12" s="175"/>
      <c r="N12" s="175"/>
      <c r="O12" s="175"/>
      <c r="P12" s="175"/>
      <c r="Q12" s="175"/>
      <c r="R12" s="175"/>
      <c r="S12" s="175"/>
      <c r="T12" s="176"/>
      <c r="U12" s="177">
        <v>43313</v>
      </c>
      <c r="V12" s="178"/>
      <c r="W12" s="178"/>
      <c r="X12" s="179"/>
      <c r="Y12" s="180" t="s">
        <v>170</v>
      </c>
      <c r="Z12" s="181"/>
      <c r="AA12" s="181"/>
      <c r="AB12" s="181"/>
      <c r="AC12" s="181"/>
      <c r="AD12" s="181"/>
      <c r="AE12" s="181"/>
      <c r="AF12" s="181"/>
      <c r="AG12" s="181"/>
      <c r="AH12" s="181"/>
      <c r="AI12" s="181"/>
      <c r="AJ12" s="181"/>
      <c r="AK12" s="182"/>
      <c r="AL12" s="67"/>
      <c r="AW12" s="101"/>
      <c r="AX12" s="109"/>
      <c r="AY12" s="109"/>
      <c r="AZ12" s="109"/>
      <c r="BA12" s="101"/>
      <c r="BB12" s="110"/>
      <c r="BC12" s="111"/>
      <c r="BD12" s="111"/>
      <c r="BE12" s="111"/>
      <c r="BF12" s="111"/>
      <c r="BG12" s="111"/>
      <c r="BH12" s="111"/>
      <c r="BI12" s="111"/>
      <c r="BJ12" s="111"/>
      <c r="BK12" s="111"/>
    </row>
    <row r="13" spans="1:63" ht="12.75" x14ac:dyDescent="0.15">
      <c r="A13" s="66"/>
      <c r="B13" s="171"/>
      <c r="C13" s="172"/>
      <c r="D13" s="172"/>
      <c r="E13" s="173"/>
      <c r="F13" s="171"/>
      <c r="G13" s="172"/>
      <c r="H13" s="172"/>
      <c r="I13" s="172"/>
      <c r="J13" s="172"/>
      <c r="K13" s="172"/>
      <c r="L13" s="172"/>
      <c r="M13" s="172"/>
      <c r="N13" s="172"/>
      <c r="O13" s="172"/>
      <c r="P13" s="172"/>
      <c r="Q13" s="172"/>
      <c r="R13" s="172"/>
      <c r="S13" s="172"/>
      <c r="T13" s="173"/>
      <c r="U13" s="171"/>
      <c r="V13" s="172"/>
      <c r="W13" s="172"/>
      <c r="X13" s="173"/>
      <c r="Y13" s="183"/>
      <c r="Z13" s="184"/>
      <c r="AA13" s="184"/>
      <c r="AB13" s="184"/>
      <c r="AC13" s="184"/>
      <c r="AD13" s="184"/>
      <c r="AE13" s="184"/>
      <c r="AF13" s="184"/>
      <c r="AG13" s="184"/>
      <c r="AH13" s="184"/>
      <c r="AI13" s="184"/>
      <c r="AJ13" s="184"/>
      <c r="AK13" s="185"/>
      <c r="AL13" s="67"/>
      <c r="AO13" s="107"/>
      <c r="AP13" s="107"/>
      <c r="AQ13" s="107"/>
      <c r="AR13" s="107"/>
      <c r="AT13" s="107"/>
      <c r="AU13" s="107"/>
      <c r="AV13" s="107"/>
      <c r="AW13" s="101"/>
      <c r="AX13" s="109"/>
      <c r="AY13" s="109"/>
      <c r="AZ13" s="109"/>
      <c r="BA13" s="101"/>
      <c r="BB13" s="110"/>
      <c r="BC13" s="111"/>
      <c r="BD13" s="111"/>
      <c r="BE13" s="111"/>
      <c r="BF13" s="111"/>
      <c r="BG13" s="111"/>
      <c r="BH13" s="111"/>
      <c r="BI13" s="111"/>
      <c r="BJ13" s="111"/>
      <c r="BK13" s="111"/>
    </row>
    <row r="14" spans="1:63" ht="12.75" x14ac:dyDescent="0.15">
      <c r="A14" s="66"/>
      <c r="B14" s="168">
        <v>1.3</v>
      </c>
      <c r="C14" s="186"/>
      <c r="D14" s="186"/>
      <c r="E14" s="187"/>
      <c r="F14" s="174" t="s">
        <v>173</v>
      </c>
      <c r="G14" s="191"/>
      <c r="H14" s="191"/>
      <c r="I14" s="191"/>
      <c r="J14" s="191"/>
      <c r="K14" s="191"/>
      <c r="L14" s="191"/>
      <c r="M14" s="191"/>
      <c r="N14" s="191"/>
      <c r="O14" s="191"/>
      <c r="P14" s="191"/>
      <c r="Q14" s="191"/>
      <c r="R14" s="191"/>
      <c r="S14" s="191"/>
      <c r="T14" s="192"/>
      <c r="U14" s="177">
        <v>43313</v>
      </c>
      <c r="V14" s="193"/>
      <c r="W14" s="193"/>
      <c r="X14" s="194"/>
      <c r="Y14" s="180" t="s">
        <v>174</v>
      </c>
      <c r="Z14" s="195"/>
      <c r="AA14" s="195"/>
      <c r="AB14" s="195"/>
      <c r="AC14" s="195"/>
      <c r="AD14" s="195"/>
      <c r="AE14" s="195"/>
      <c r="AF14" s="195"/>
      <c r="AG14" s="195"/>
      <c r="AH14" s="195"/>
      <c r="AI14" s="195"/>
      <c r="AJ14" s="195"/>
      <c r="AK14" s="196"/>
      <c r="AL14" s="67"/>
      <c r="AO14" s="107"/>
      <c r="AP14" s="107"/>
      <c r="AQ14" s="107"/>
      <c r="AR14" s="107"/>
      <c r="AT14" s="107"/>
      <c r="AU14" s="107"/>
      <c r="AV14" s="107"/>
      <c r="AW14" s="70"/>
      <c r="AX14" s="112"/>
      <c r="AY14" s="112"/>
      <c r="AZ14" s="112"/>
      <c r="BA14" s="70"/>
      <c r="BB14" s="70"/>
      <c r="BC14" s="112"/>
      <c r="BD14" s="112"/>
      <c r="BE14" s="112"/>
      <c r="BF14" s="112"/>
      <c r="BG14" s="112"/>
      <c r="BH14" s="112"/>
      <c r="BI14" s="112"/>
      <c r="BJ14" s="112"/>
      <c r="BK14" s="112"/>
    </row>
    <row r="15" spans="1:63" ht="12.75" x14ac:dyDescent="0.15">
      <c r="A15" s="66"/>
      <c r="B15" s="188"/>
      <c r="C15" s="189"/>
      <c r="D15" s="189"/>
      <c r="E15" s="190"/>
      <c r="F15" s="188"/>
      <c r="G15" s="189"/>
      <c r="H15" s="189"/>
      <c r="I15" s="189"/>
      <c r="J15" s="189"/>
      <c r="K15" s="189"/>
      <c r="L15" s="189"/>
      <c r="M15" s="189"/>
      <c r="N15" s="189"/>
      <c r="O15" s="189"/>
      <c r="P15" s="189"/>
      <c r="Q15" s="189"/>
      <c r="R15" s="189"/>
      <c r="S15" s="189"/>
      <c r="T15" s="190"/>
      <c r="U15" s="188"/>
      <c r="V15" s="189"/>
      <c r="W15" s="189"/>
      <c r="X15" s="190"/>
      <c r="Y15" s="197"/>
      <c r="Z15" s="198"/>
      <c r="AA15" s="198"/>
      <c r="AB15" s="198"/>
      <c r="AC15" s="198"/>
      <c r="AD15" s="198"/>
      <c r="AE15" s="198"/>
      <c r="AF15" s="198"/>
      <c r="AG15" s="198"/>
      <c r="AH15" s="198"/>
      <c r="AI15" s="198"/>
      <c r="AJ15" s="198"/>
      <c r="AK15" s="199"/>
      <c r="AL15" s="67"/>
      <c r="AO15" s="107"/>
      <c r="AP15" s="107"/>
      <c r="AQ15" s="107"/>
      <c r="AR15" s="107"/>
      <c r="AT15" s="107"/>
      <c r="AU15" s="107"/>
      <c r="AV15" s="107"/>
      <c r="AW15" s="107"/>
    </row>
    <row r="16" spans="1:63" ht="12.75" x14ac:dyDescent="0.15">
      <c r="A16" s="66"/>
      <c r="B16" s="168">
        <v>1.4</v>
      </c>
      <c r="C16" s="186"/>
      <c r="D16" s="186"/>
      <c r="E16" s="187"/>
      <c r="F16" s="180" t="s">
        <v>175</v>
      </c>
      <c r="G16" s="195"/>
      <c r="H16" s="195"/>
      <c r="I16" s="195"/>
      <c r="J16" s="195"/>
      <c r="K16" s="195"/>
      <c r="L16" s="195"/>
      <c r="M16" s="195"/>
      <c r="N16" s="195"/>
      <c r="O16" s="195"/>
      <c r="P16" s="195"/>
      <c r="Q16" s="195"/>
      <c r="R16" s="195"/>
      <c r="S16" s="195"/>
      <c r="T16" s="196"/>
      <c r="U16" s="177">
        <v>43314</v>
      </c>
      <c r="V16" s="193"/>
      <c r="W16" s="193"/>
      <c r="X16" s="194"/>
      <c r="Y16" s="180" t="s">
        <v>176</v>
      </c>
      <c r="Z16" s="195"/>
      <c r="AA16" s="195"/>
      <c r="AB16" s="195"/>
      <c r="AC16" s="195"/>
      <c r="AD16" s="195"/>
      <c r="AE16" s="195"/>
      <c r="AF16" s="195"/>
      <c r="AG16" s="195"/>
      <c r="AH16" s="195"/>
      <c r="AI16" s="195"/>
      <c r="AJ16" s="195"/>
      <c r="AK16" s="196"/>
      <c r="AL16" s="67"/>
      <c r="AO16" s="107"/>
      <c r="AP16" s="107"/>
      <c r="AQ16" s="107"/>
      <c r="AR16" s="107"/>
      <c r="AT16" s="107"/>
      <c r="AU16" s="107"/>
      <c r="AV16" s="107"/>
      <c r="AW16" s="107"/>
    </row>
    <row r="17" spans="1:49" ht="12.75" x14ac:dyDescent="0.15">
      <c r="A17" s="66"/>
      <c r="B17" s="188"/>
      <c r="C17" s="189"/>
      <c r="D17" s="189"/>
      <c r="E17" s="190"/>
      <c r="F17" s="197"/>
      <c r="G17" s="198"/>
      <c r="H17" s="198"/>
      <c r="I17" s="198"/>
      <c r="J17" s="198"/>
      <c r="K17" s="198"/>
      <c r="L17" s="198"/>
      <c r="M17" s="198"/>
      <c r="N17" s="198"/>
      <c r="O17" s="198"/>
      <c r="P17" s="198"/>
      <c r="Q17" s="198"/>
      <c r="R17" s="198"/>
      <c r="S17" s="198"/>
      <c r="T17" s="199"/>
      <c r="U17" s="188"/>
      <c r="V17" s="189"/>
      <c r="W17" s="189"/>
      <c r="X17" s="190"/>
      <c r="Y17" s="197"/>
      <c r="Z17" s="198"/>
      <c r="AA17" s="198"/>
      <c r="AB17" s="198"/>
      <c r="AC17" s="198"/>
      <c r="AD17" s="198"/>
      <c r="AE17" s="198"/>
      <c r="AF17" s="198"/>
      <c r="AG17" s="198"/>
      <c r="AH17" s="198"/>
      <c r="AI17" s="198"/>
      <c r="AJ17" s="198"/>
      <c r="AK17" s="199"/>
      <c r="AL17" s="67"/>
      <c r="AO17" s="107"/>
      <c r="AP17" s="107"/>
      <c r="AQ17" s="107"/>
      <c r="AR17" s="107"/>
      <c r="AT17" s="107"/>
      <c r="AU17" s="107"/>
      <c r="AV17" s="107"/>
      <c r="AW17" s="107"/>
    </row>
    <row r="18" spans="1:49" ht="12.75" x14ac:dyDescent="0.15">
      <c r="A18" s="66"/>
      <c r="B18" s="200">
        <v>1.5</v>
      </c>
      <c r="C18" s="200"/>
      <c r="D18" s="200"/>
      <c r="E18" s="200"/>
      <c r="F18" s="202" t="s">
        <v>203</v>
      </c>
      <c r="G18" s="203"/>
      <c r="H18" s="203"/>
      <c r="I18" s="203"/>
      <c r="J18" s="203"/>
      <c r="K18" s="203"/>
      <c r="L18" s="203"/>
      <c r="M18" s="203"/>
      <c r="N18" s="203"/>
      <c r="O18" s="203"/>
      <c r="P18" s="203"/>
      <c r="Q18" s="203"/>
      <c r="R18" s="203"/>
      <c r="S18" s="203"/>
      <c r="T18" s="203"/>
      <c r="U18" s="204">
        <v>43318</v>
      </c>
      <c r="V18" s="204"/>
      <c r="W18" s="204"/>
      <c r="X18" s="204"/>
      <c r="Y18" s="205" t="s">
        <v>204</v>
      </c>
      <c r="Z18" s="206"/>
      <c r="AA18" s="206"/>
      <c r="AB18" s="206"/>
      <c r="AC18" s="206"/>
      <c r="AD18" s="206"/>
      <c r="AE18" s="206"/>
      <c r="AF18" s="206"/>
      <c r="AG18" s="206"/>
      <c r="AH18" s="206"/>
      <c r="AI18" s="206"/>
      <c r="AJ18" s="206"/>
      <c r="AK18" s="206"/>
      <c r="AL18" s="67"/>
      <c r="AO18" s="107"/>
      <c r="AP18" s="107"/>
      <c r="AQ18" s="107"/>
      <c r="AR18" s="107"/>
      <c r="AT18" s="107"/>
      <c r="AU18" s="107"/>
      <c r="AV18" s="107"/>
      <c r="AW18" s="107"/>
    </row>
    <row r="19" spans="1:49" ht="12.75" x14ac:dyDescent="0.15">
      <c r="A19" s="66"/>
      <c r="B19" s="201"/>
      <c r="C19" s="201"/>
      <c r="D19" s="201"/>
      <c r="E19" s="201"/>
      <c r="F19" s="201"/>
      <c r="G19" s="201"/>
      <c r="H19" s="201"/>
      <c r="I19" s="201"/>
      <c r="J19" s="201"/>
      <c r="K19" s="201"/>
      <c r="L19" s="201"/>
      <c r="M19" s="201"/>
      <c r="N19" s="201"/>
      <c r="O19" s="201"/>
      <c r="P19" s="201"/>
      <c r="Q19" s="201"/>
      <c r="R19" s="201"/>
      <c r="S19" s="201"/>
      <c r="T19" s="201"/>
      <c r="U19" s="201"/>
      <c r="V19" s="201"/>
      <c r="W19" s="201"/>
      <c r="X19" s="201"/>
      <c r="Y19" s="207"/>
      <c r="Z19" s="207"/>
      <c r="AA19" s="207"/>
      <c r="AB19" s="207"/>
      <c r="AC19" s="207"/>
      <c r="AD19" s="207"/>
      <c r="AE19" s="207"/>
      <c r="AF19" s="207"/>
      <c r="AG19" s="207"/>
      <c r="AH19" s="207"/>
      <c r="AI19" s="207"/>
      <c r="AJ19" s="207"/>
      <c r="AK19" s="207"/>
      <c r="AL19" s="67"/>
      <c r="AO19" s="107"/>
      <c r="AP19" s="107"/>
      <c r="AQ19" s="107"/>
      <c r="AR19" s="107"/>
      <c r="AT19" s="107"/>
      <c r="AU19" s="107"/>
      <c r="AV19" s="107"/>
      <c r="AW19" s="107"/>
    </row>
    <row r="20" spans="1:49" ht="12.75" x14ac:dyDescent="0.15">
      <c r="A20" s="66"/>
      <c r="B20" s="200">
        <v>1.6</v>
      </c>
      <c r="C20" s="200"/>
      <c r="D20" s="200"/>
      <c r="E20" s="200"/>
      <c r="F20" s="180" t="s">
        <v>205</v>
      </c>
      <c r="G20" s="195"/>
      <c r="H20" s="195"/>
      <c r="I20" s="195"/>
      <c r="J20" s="195"/>
      <c r="K20" s="195"/>
      <c r="L20" s="195"/>
      <c r="M20" s="195"/>
      <c r="N20" s="195"/>
      <c r="O20" s="195"/>
      <c r="P20" s="195"/>
      <c r="Q20" s="195"/>
      <c r="R20" s="195"/>
      <c r="S20" s="195"/>
      <c r="T20" s="196"/>
      <c r="U20" s="204">
        <v>43322</v>
      </c>
      <c r="V20" s="204"/>
      <c r="W20" s="204"/>
      <c r="X20" s="204"/>
      <c r="Y20" s="205" t="s">
        <v>206</v>
      </c>
      <c r="Z20" s="206"/>
      <c r="AA20" s="206"/>
      <c r="AB20" s="206"/>
      <c r="AC20" s="206"/>
      <c r="AD20" s="206"/>
      <c r="AE20" s="206"/>
      <c r="AF20" s="206"/>
      <c r="AG20" s="206"/>
      <c r="AH20" s="206"/>
      <c r="AI20" s="206"/>
      <c r="AJ20" s="206"/>
      <c r="AK20" s="206"/>
      <c r="AL20" s="67"/>
      <c r="AO20" s="107"/>
      <c r="AP20" s="107"/>
      <c r="AQ20" s="107"/>
      <c r="AR20" s="107"/>
      <c r="AT20" s="107"/>
      <c r="AU20" s="107"/>
      <c r="AV20" s="107"/>
      <c r="AW20" s="107"/>
    </row>
    <row r="21" spans="1:49" ht="12.75" x14ac:dyDescent="0.15">
      <c r="A21" s="66"/>
      <c r="B21" s="201"/>
      <c r="C21" s="201"/>
      <c r="D21" s="201"/>
      <c r="E21" s="201"/>
      <c r="F21" s="197"/>
      <c r="G21" s="198"/>
      <c r="H21" s="198"/>
      <c r="I21" s="198"/>
      <c r="J21" s="198"/>
      <c r="K21" s="198"/>
      <c r="L21" s="198"/>
      <c r="M21" s="198"/>
      <c r="N21" s="198"/>
      <c r="O21" s="198"/>
      <c r="P21" s="198"/>
      <c r="Q21" s="198"/>
      <c r="R21" s="198"/>
      <c r="S21" s="198"/>
      <c r="T21" s="199"/>
      <c r="U21" s="201"/>
      <c r="V21" s="201"/>
      <c r="W21" s="201"/>
      <c r="X21" s="201"/>
      <c r="Y21" s="207"/>
      <c r="Z21" s="207"/>
      <c r="AA21" s="207"/>
      <c r="AB21" s="207"/>
      <c r="AC21" s="207"/>
      <c r="AD21" s="207"/>
      <c r="AE21" s="207"/>
      <c r="AF21" s="207"/>
      <c r="AG21" s="207"/>
      <c r="AH21" s="207"/>
      <c r="AI21" s="207"/>
      <c r="AJ21" s="207"/>
      <c r="AK21" s="207"/>
      <c r="AL21" s="67"/>
      <c r="AO21" s="107"/>
      <c r="AP21" s="107"/>
      <c r="AQ21" s="107"/>
      <c r="AR21" s="107"/>
      <c r="AT21" s="107"/>
      <c r="AU21" s="107"/>
      <c r="AV21" s="107"/>
      <c r="AW21" s="107"/>
    </row>
    <row r="22" spans="1:49" ht="12.75" x14ac:dyDescent="0.15">
      <c r="A22" s="66"/>
      <c r="B22" s="200">
        <v>1.7</v>
      </c>
      <c r="C22" s="200"/>
      <c r="D22" s="200"/>
      <c r="E22" s="200"/>
      <c r="F22" s="180" t="s">
        <v>18</v>
      </c>
      <c r="G22" s="195"/>
      <c r="H22" s="195"/>
      <c r="I22" s="195"/>
      <c r="J22" s="195"/>
      <c r="K22" s="195"/>
      <c r="L22" s="195"/>
      <c r="M22" s="195"/>
      <c r="N22" s="195"/>
      <c r="O22" s="195"/>
      <c r="P22" s="195"/>
      <c r="Q22" s="195"/>
      <c r="R22" s="195"/>
      <c r="S22" s="195"/>
      <c r="T22" s="196"/>
      <c r="U22" s="204" t="s">
        <v>18</v>
      </c>
      <c r="V22" s="204"/>
      <c r="W22" s="204"/>
      <c r="X22" s="204"/>
      <c r="Y22" s="205" t="s">
        <v>18</v>
      </c>
      <c r="Z22" s="206"/>
      <c r="AA22" s="206"/>
      <c r="AB22" s="206"/>
      <c r="AC22" s="206"/>
      <c r="AD22" s="206"/>
      <c r="AE22" s="206"/>
      <c r="AF22" s="206"/>
      <c r="AG22" s="206"/>
      <c r="AH22" s="206"/>
      <c r="AI22" s="206"/>
      <c r="AJ22" s="206"/>
      <c r="AK22" s="206"/>
      <c r="AL22" s="67"/>
      <c r="AO22" s="107"/>
      <c r="AP22" s="107"/>
      <c r="AQ22" s="107"/>
      <c r="AR22" s="107"/>
      <c r="AT22" s="107"/>
      <c r="AU22" s="107"/>
      <c r="AV22" s="107"/>
      <c r="AW22" s="107"/>
    </row>
    <row r="23" spans="1:49" ht="12.75" x14ac:dyDescent="0.15">
      <c r="A23" s="66"/>
      <c r="B23" s="201"/>
      <c r="C23" s="201"/>
      <c r="D23" s="201"/>
      <c r="E23" s="201"/>
      <c r="F23" s="197"/>
      <c r="G23" s="198"/>
      <c r="H23" s="198"/>
      <c r="I23" s="198"/>
      <c r="J23" s="198"/>
      <c r="K23" s="198"/>
      <c r="L23" s="198"/>
      <c r="M23" s="198"/>
      <c r="N23" s="198"/>
      <c r="O23" s="198"/>
      <c r="P23" s="198"/>
      <c r="Q23" s="198"/>
      <c r="R23" s="198"/>
      <c r="S23" s="198"/>
      <c r="T23" s="199"/>
      <c r="U23" s="201"/>
      <c r="V23" s="201"/>
      <c r="W23" s="201"/>
      <c r="X23" s="201"/>
      <c r="Y23" s="207"/>
      <c r="Z23" s="207"/>
      <c r="AA23" s="207"/>
      <c r="AB23" s="207"/>
      <c r="AC23" s="207"/>
      <c r="AD23" s="207"/>
      <c r="AE23" s="207"/>
      <c r="AF23" s="207"/>
      <c r="AG23" s="207"/>
      <c r="AH23" s="207"/>
      <c r="AI23" s="207"/>
      <c r="AJ23" s="207"/>
      <c r="AK23" s="207"/>
      <c r="AL23" s="67"/>
      <c r="AO23" s="107"/>
      <c r="AP23" s="107"/>
      <c r="AQ23" s="107"/>
      <c r="AR23" s="107"/>
      <c r="AT23" s="107"/>
      <c r="AU23" s="107"/>
      <c r="AV23" s="107"/>
      <c r="AW23" s="107"/>
    </row>
    <row r="24" spans="1:49" ht="12" customHeight="1" x14ac:dyDescent="0.15">
      <c r="A24" s="66"/>
      <c r="B24" s="200">
        <v>1.8</v>
      </c>
      <c r="C24" s="200"/>
      <c r="D24" s="200"/>
      <c r="E24" s="200"/>
      <c r="F24" s="180" t="s">
        <v>216</v>
      </c>
      <c r="G24" s="195"/>
      <c r="H24" s="195"/>
      <c r="I24" s="195"/>
      <c r="J24" s="195"/>
      <c r="K24" s="195"/>
      <c r="L24" s="195"/>
      <c r="M24" s="195"/>
      <c r="N24" s="195"/>
      <c r="O24" s="195"/>
      <c r="P24" s="195"/>
      <c r="Q24" s="195"/>
      <c r="R24" s="195"/>
      <c r="S24" s="195"/>
      <c r="T24" s="196"/>
      <c r="U24" s="204">
        <v>43579</v>
      </c>
      <c r="V24" s="204"/>
      <c r="W24" s="204"/>
      <c r="X24" s="204"/>
      <c r="Y24" s="205" t="s">
        <v>215</v>
      </c>
      <c r="Z24" s="206"/>
      <c r="AA24" s="206"/>
      <c r="AB24" s="206"/>
      <c r="AC24" s="206"/>
      <c r="AD24" s="206"/>
      <c r="AE24" s="206"/>
      <c r="AF24" s="206"/>
      <c r="AG24" s="206"/>
      <c r="AH24" s="206"/>
      <c r="AI24" s="206"/>
      <c r="AJ24" s="206"/>
      <c r="AK24" s="206"/>
      <c r="AL24" s="67"/>
      <c r="AO24" s="107"/>
      <c r="AP24" s="107"/>
      <c r="AQ24" s="107"/>
      <c r="AR24" s="107"/>
      <c r="AT24" s="107"/>
      <c r="AU24" s="107"/>
      <c r="AV24" s="107"/>
      <c r="AW24" s="107"/>
    </row>
    <row r="25" spans="1:49" ht="12" customHeight="1" x14ac:dyDescent="0.15">
      <c r="A25" s="66"/>
      <c r="B25" s="201"/>
      <c r="C25" s="201"/>
      <c r="D25" s="201"/>
      <c r="E25" s="201"/>
      <c r="F25" s="197"/>
      <c r="G25" s="198"/>
      <c r="H25" s="198"/>
      <c r="I25" s="198"/>
      <c r="J25" s="198"/>
      <c r="K25" s="198"/>
      <c r="L25" s="198"/>
      <c r="M25" s="198"/>
      <c r="N25" s="198"/>
      <c r="O25" s="198"/>
      <c r="P25" s="198"/>
      <c r="Q25" s="198"/>
      <c r="R25" s="198"/>
      <c r="S25" s="198"/>
      <c r="T25" s="199"/>
      <c r="U25" s="201"/>
      <c r="V25" s="201"/>
      <c r="W25" s="201"/>
      <c r="X25" s="201"/>
      <c r="Y25" s="207"/>
      <c r="Z25" s="207"/>
      <c r="AA25" s="207"/>
      <c r="AB25" s="207"/>
      <c r="AC25" s="207"/>
      <c r="AD25" s="207"/>
      <c r="AE25" s="207"/>
      <c r="AF25" s="207"/>
      <c r="AG25" s="207"/>
      <c r="AH25" s="207"/>
      <c r="AI25" s="207"/>
      <c r="AJ25" s="207"/>
      <c r="AK25" s="207"/>
      <c r="AL25" s="67"/>
      <c r="AO25" s="107"/>
      <c r="AP25" s="107"/>
      <c r="AQ25" s="107"/>
      <c r="AR25" s="107"/>
      <c r="AT25" s="107"/>
      <c r="AU25" s="107"/>
      <c r="AV25" s="107"/>
      <c r="AW25" s="107"/>
    </row>
    <row r="26" spans="1:49" ht="12" customHeight="1" x14ac:dyDescent="0.15">
      <c r="A26" s="66"/>
      <c r="AL26" s="67"/>
    </row>
    <row r="27" spans="1:49" ht="12" customHeight="1" x14ac:dyDescent="0.15">
      <c r="A27" s="66"/>
      <c r="AL27" s="67"/>
    </row>
    <row r="28" spans="1:49" ht="12" customHeight="1" x14ac:dyDescent="0.15">
      <c r="A28" s="66"/>
      <c r="B28" s="115" t="s">
        <v>139</v>
      </c>
      <c r="AL28" s="67"/>
    </row>
    <row r="29" spans="1:49" ht="12" customHeight="1" x14ac:dyDescent="0.15">
      <c r="A29" s="66"/>
      <c r="B29" s="113"/>
      <c r="C29" s="114"/>
      <c r="D29" s="79"/>
      <c r="AL29" s="67"/>
    </row>
    <row r="30" spans="1:49" ht="12.75" customHeight="1" x14ac:dyDescent="0.15">
      <c r="A30" s="66"/>
      <c r="B30" s="208" t="s">
        <v>127</v>
      </c>
      <c r="C30" s="209"/>
      <c r="D30" s="219" t="s">
        <v>150</v>
      </c>
      <c r="E30" s="220"/>
      <c r="F30" s="220"/>
      <c r="G30" s="220"/>
      <c r="H30" s="220"/>
      <c r="I30" s="220"/>
      <c r="J30" s="220"/>
      <c r="K30" s="220"/>
      <c r="L30" s="220"/>
      <c r="M30" s="220"/>
      <c r="N30" s="220"/>
      <c r="O30" s="220"/>
      <c r="P30" s="220"/>
      <c r="Q30" s="220"/>
      <c r="R30" s="220"/>
      <c r="S30" s="220"/>
      <c r="T30" s="220"/>
      <c r="U30" s="221"/>
      <c r="V30" s="231" t="s">
        <v>151</v>
      </c>
      <c r="W30" s="232"/>
      <c r="X30" s="232"/>
      <c r="Y30" s="232"/>
      <c r="Z30" s="232"/>
      <c r="AA30" s="232"/>
      <c r="AB30" s="232"/>
      <c r="AC30" s="232"/>
      <c r="AD30" s="232"/>
      <c r="AE30" s="232"/>
      <c r="AF30" s="232"/>
      <c r="AG30" s="232"/>
      <c r="AH30" s="232"/>
      <c r="AI30" s="232"/>
      <c r="AJ30" s="220"/>
      <c r="AK30" s="221"/>
      <c r="AL30" s="67"/>
    </row>
    <row r="31" spans="1:49" ht="12" customHeight="1" x14ac:dyDescent="0.15">
      <c r="A31" s="66"/>
      <c r="B31" s="214">
        <v>1</v>
      </c>
      <c r="C31" s="215"/>
      <c r="D31" s="222" t="s">
        <v>140</v>
      </c>
      <c r="E31" s="223"/>
      <c r="F31" s="223"/>
      <c r="G31" s="223"/>
      <c r="H31" s="223"/>
      <c r="I31" s="223"/>
      <c r="J31" s="223"/>
      <c r="K31" s="223"/>
      <c r="L31" s="223"/>
      <c r="M31" s="223"/>
      <c r="N31" s="223"/>
      <c r="O31" s="223"/>
      <c r="P31" s="223"/>
      <c r="Q31" s="223"/>
      <c r="R31" s="223"/>
      <c r="S31" s="223"/>
      <c r="T31" s="223"/>
      <c r="U31" s="224"/>
      <c r="V31" s="233" t="s">
        <v>141</v>
      </c>
      <c r="W31" s="220"/>
      <c r="X31" s="220"/>
      <c r="Y31" s="220"/>
      <c r="Z31" s="220"/>
      <c r="AA31" s="220"/>
      <c r="AB31" s="220"/>
      <c r="AC31" s="220"/>
      <c r="AD31" s="220"/>
      <c r="AE31" s="220"/>
      <c r="AF31" s="220"/>
      <c r="AG31" s="220"/>
      <c r="AH31" s="220"/>
      <c r="AI31" s="220"/>
      <c r="AJ31" s="220"/>
      <c r="AK31" s="221"/>
      <c r="AL31" s="67"/>
    </row>
    <row r="32" spans="1:49" ht="12" customHeight="1" x14ac:dyDescent="0.15">
      <c r="A32" s="66"/>
      <c r="B32" s="215"/>
      <c r="C32" s="215"/>
      <c r="D32" s="225"/>
      <c r="E32" s="226"/>
      <c r="F32" s="226"/>
      <c r="G32" s="226"/>
      <c r="H32" s="226"/>
      <c r="I32" s="226"/>
      <c r="J32" s="226"/>
      <c r="K32" s="226"/>
      <c r="L32" s="226"/>
      <c r="M32" s="226"/>
      <c r="N32" s="226"/>
      <c r="O32" s="226"/>
      <c r="P32" s="226"/>
      <c r="Q32" s="226"/>
      <c r="R32" s="226"/>
      <c r="S32" s="226"/>
      <c r="T32" s="226"/>
      <c r="U32" s="227"/>
      <c r="V32" s="233"/>
      <c r="W32" s="220"/>
      <c r="X32" s="220"/>
      <c r="Y32" s="220"/>
      <c r="Z32" s="220"/>
      <c r="AA32" s="220"/>
      <c r="AB32" s="220"/>
      <c r="AC32" s="220"/>
      <c r="AD32" s="220"/>
      <c r="AE32" s="220"/>
      <c r="AF32" s="220"/>
      <c r="AG32" s="220"/>
      <c r="AH32" s="220"/>
      <c r="AI32" s="220"/>
      <c r="AJ32" s="220"/>
      <c r="AK32" s="221"/>
      <c r="AL32" s="67"/>
    </row>
    <row r="33" spans="1:38" ht="12" customHeight="1" x14ac:dyDescent="0.15">
      <c r="A33" s="66"/>
      <c r="B33" s="214">
        <v>2</v>
      </c>
      <c r="C33" s="215"/>
      <c r="D33" s="222" t="s">
        <v>152</v>
      </c>
      <c r="E33" s="223"/>
      <c r="F33" s="223"/>
      <c r="G33" s="223"/>
      <c r="H33" s="223"/>
      <c r="I33" s="223"/>
      <c r="J33" s="223"/>
      <c r="K33" s="223"/>
      <c r="L33" s="223"/>
      <c r="M33" s="223"/>
      <c r="N33" s="223"/>
      <c r="O33" s="223"/>
      <c r="P33" s="223"/>
      <c r="Q33" s="223"/>
      <c r="R33" s="223"/>
      <c r="S33" s="223"/>
      <c r="T33" s="223"/>
      <c r="U33" s="224"/>
      <c r="V33" s="233" t="s">
        <v>153</v>
      </c>
      <c r="W33" s="220"/>
      <c r="X33" s="220"/>
      <c r="Y33" s="220"/>
      <c r="Z33" s="220"/>
      <c r="AA33" s="220"/>
      <c r="AB33" s="220"/>
      <c r="AC33" s="220"/>
      <c r="AD33" s="220"/>
      <c r="AE33" s="220"/>
      <c r="AF33" s="220"/>
      <c r="AG33" s="220"/>
      <c r="AH33" s="220"/>
      <c r="AI33" s="220"/>
      <c r="AJ33" s="220"/>
      <c r="AK33" s="221"/>
      <c r="AL33" s="67"/>
    </row>
    <row r="34" spans="1:38" ht="12" customHeight="1" x14ac:dyDescent="0.15">
      <c r="A34" s="66"/>
      <c r="B34" s="215"/>
      <c r="C34" s="215"/>
      <c r="D34" s="225"/>
      <c r="E34" s="226"/>
      <c r="F34" s="226"/>
      <c r="G34" s="226"/>
      <c r="H34" s="226"/>
      <c r="I34" s="226"/>
      <c r="J34" s="226"/>
      <c r="K34" s="226"/>
      <c r="L34" s="226"/>
      <c r="M34" s="226"/>
      <c r="N34" s="226"/>
      <c r="O34" s="226"/>
      <c r="P34" s="226"/>
      <c r="Q34" s="226"/>
      <c r="R34" s="226"/>
      <c r="S34" s="226"/>
      <c r="T34" s="226"/>
      <c r="U34" s="227"/>
      <c r="V34" s="233"/>
      <c r="W34" s="220"/>
      <c r="X34" s="220"/>
      <c r="Y34" s="220"/>
      <c r="Z34" s="220"/>
      <c r="AA34" s="220"/>
      <c r="AB34" s="220"/>
      <c r="AC34" s="220"/>
      <c r="AD34" s="220"/>
      <c r="AE34" s="220"/>
      <c r="AF34" s="220"/>
      <c r="AG34" s="220"/>
      <c r="AH34" s="220"/>
      <c r="AI34" s="220"/>
      <c r="AJ34" s="220"/>
      <c r="AK34" s="221"/>
      <c r="AL34" s="67"/>
    </row>
    <row r="35" spans="1:38" ht="12" customHeight="1" x14ac:dyDescent="0.15">
      <c r="A35" s="66"/>
      <c r="B35" s="214">
        <v>3</v>
      </c>
      <c r="C35" s="215"/>
      <c r="D35" s="222" t="s">
        <v>154</v>
      </c>
      <c r="E35" s="223"/>
      <c r="F35" s="223"/>
      <c r="G35" s="223"/>
      <c r="H35" s="223"/>
      <c r="I35" s="223"/>
      <c r="J35" s="223"/>
      <c r="K35" s="223"/>
      <c r="L35" s="223"/>
      <c r="M35" s="223"/>
      <c r="N35" s="223"/>
      <c r="O35" s="223"/>
      <c r="P35" s="223"/>
      <c r="Q35" s="223"/>
      <c r="R35" s="223"/>
      <c r="S35" s="223"/>
      <c r="T35" s="223"/>
      <c r="U35" s="224"/>
      <c r="V35" s="233" t="s">
        <v>155</v>
      </c>
      <c r="W35" s="220"/>
      <c r="X35" s="220"/>
      <c r="Y35" s="220"/>
      <c r="Z35" s="220"/>
      <c r="AA35" s="220"/>
      <c r="AB35" s="220"/>
      <c r="AC35" s="220"/>
      <c r="AD35" s="220"/>
      <c r="AE35" s="220"/>
      <c r="AF35" s="220"/>
      <c r="AG35" s="220"/>
      <c r="AH35" s="220"/>
      <c r="AI35" s="220"/>
      <c r="AJ35" s="220"/>
      <c r="AK35" s="221"/>
      <c r="AL35" s="67"/>
    </row>
    <row r="36" spans="1:38" ht="12" customHeight="1" x14ac:dyDescent="0.15">
      <c r="A36" s="66"/>
      <c r="B36" s="215"/>
      <c r="C36" s="215"/>
      <c r="D36" s="225"/>
      <c r="E36" s="226"/>
      <c r="F36" s="226"/>
      <c r="G36" s="226"/>
      <c r="H36" s="226"/>
      <c r="I36" s="226"/>
      <c r="J36" s="226"/>
      <c r="K36" s="226"/>
      <c r="L36" s="226"/>
      <c r="M36" s="226"/>
      <c r="N36" s="226"/>
      <c r="O36" s="226"/>
      <c r="P36" s="226"/>
      <c r="Q36" s="226"/>
      <c r="R36" s="226"/>
      <c r="S36" s="226"/>
      <c r="T36" s="226"/>
      <c r="U36" s="227"/>
      <c r="V36" s="233"/>
      <c r="W36" s="220"/>
      <c r="X36" s="220"/>
      <c r="Y36" s="220"/>
      <c r="Z36" s="220"/>
      <c r="AA36" s="220"/>
      <c r="AB36" s="220"/>
      <c r="AC36" s="220"/>
      <c r="AD36" s="220"/>
      <c r="AE36" s="220"/>
      <c r="AF36" s="220"/>
      <c r="AG36" s="220"/>
      <c r="AH36" s="220"/>
      <c r="AI36" s="220"/>
      <c r="AJ36" s="220"/>
      <c r="AK36" s="221"/>
      <c r="AL36" s="67"/>
    </row>
    <row r="37" spans="1:38" ht="12" customHeight="1" x14ac:dyDescent="0.15">
      <c r="A37" s="66"/>
      <c r="B37" s="214">
        <v>4</v>
      </c>
      <c r="C37" s="215"/>
      <c r="D37" s="222" t="s">
        <v>156</v>
      </c>
      <c r="E37" s="223"/>
      <c r="F37" s="223"/>
      <c r="G37" s="223"/>
      <c r="H37" s="223"/>
      <c r="I37" s="223"/>
      <c r="J37" s="223"/>
      <c r="K37" s="223"/>
      <c r="L37" s="223"/>
      <c r="M37" s="223"/>
      <c r="N37" s="223"/>
      <c r="O37" s="223"/>
      <c r="P37" s="223"/>
      <c r="Q37" s="223"/>
      <c r="R37" s="223"/>
      <c r="S37" s="223"/>
      <c r="T37" s="223"/>
      <c r="U37" s="224"/>
      <c r="V37" s="233" t="s">
        <v>157</v>
      </c>
      <c r="W37" s="220"/>
      <c r="X37" s="220"/>
      <c r="Y37" s="220"/>
      <c r="Z37" s="220"/>
      <c r="AA37" s="220"/>
      <c r="AB37" s="220"/>
      <c r="AC37" s="220"/>
      <c r="AD37" s="220"/>
      <c r="AE37" s="220"/>
      <c r="AF37" s="220"/>
      <c r="AG37" s="220"/>
      <c r="AH37" s="220"/>
      <c r="AI37" s="220"/>
      <c r="AJ37" s="220"/>
      <c r="AK37" s="221"/>
      <c r="AL37" s="67"/>
    </row>
    <row r="38" spans="1:38" ht="12" customHeight="1" x14ac:dyDescent="0.15">
      <c r="A38" s="66"/>
      <c r="B38" s="215"/>
      <c r="C38" s="215"/>
      <c r="D38" s="225"/>
      <c r="E38" s="226"/>
      <c r="F38" s="226"/>
      <c r="G38" s="226"/>
      <c r="H38" s="226"/>
      <c r="I38" s="226"/>
      <c r="J38" s="226"/>
      <c r="K38" s="226"/>
      <c r="L38" s="226"/>
      <c r="M38" s="226"/>
      <c r="N38" s="226"/>
      <c r="O38" s="226"/>
      <c r="P38" s="226"/>
      <c r="Q38" s="226"/>
      <c r="R38" s="226"/>
      <c r="S38" s="226"/>
      <c r="T38" s="226"/>
      <c r="U38" s="227"/>
      <c r="V38" s="233"/>
      <c r="W38" s="220"/>
      <c r="X38" s="220"/>
      <c r="Y38" s="220"/>
      <c r="Z38" s="220"/>
      <c r="AA38" s="220"/>
      <c r="AB38" s="220"/>
      <c r="AC38" s="220"/>
      <c r="AD38" s="220"/>
      <c r="AE38" s="220"/>
      <c r="AF38" s="220"/>
      <c r="AG38" s="220"/>
      <c r="AH38" s="220"/>
      <c r="AI38" s="220"/>
      <c r="AJ38" s="220"/>
      <c r="AK38" s="221"/>
      <c r="AL38" s="67"/>
    </row>
    <row r="39" spans="1:38" ht="12" customHeight="1" x14ac:dyDescent="0.15">
      <c r="A39" s="66"/>
      <c r="B39" s="210">
        <v>5</v>
      </c>
      <c r="C39" s="211"/>
      <c r="D39" s="222" t="s">
        <v>158</v>
      </c>
      <c r="E39" s="223"/>
      <c r="F39" s="223"/>
      <c r="G39" s="223"/>
      <c r="H39" s="223"/>
      <c r="I39" s="223"/>
      <c r="J39" s="223"/>
      <c r="K39" s="223"/>
      <c r="L39" s="223"/>
      <c r="M39" s="223"/>
      <c r="N39" s="223"/>
      <c r="O39" s="223"/>
      <c r="P39" s="223"/>
      <c r="Q39" s="223"/>
      <c r="R39" s="223"/>
      <c r="S39" s="223"/>
      <c r="T39" s="223"/>
      <c r="U39" s="224"/>
      <c r="V39" s="216" t="s">
        <v>172</v>
      </c>
      <c r="W39" s="217"/>
      <c r="X39" s="217"/>
      <c r="Y39" s="217"/>
      <c r="Z39" s="217"/>
      <c r="AA39" s="217"/>
      <c r="AB39" s="217"/>
      <c r="AC39" s="217"/>
      <c r="AD39" s="217"/>
      <c r="AE39" s="217"/>
      <c r="AF39" s="217"/>
      <c r="AG39" s="217"/>
      <c r="AH39" s="217"/>
      <c r="AI39" s="217"/>
      <c r="AJ39" s="217"/>
      <c r="AK39" s="218"/>
      <c r="AL39" s="67"/>
    </row>
    <row r="40" spans="1:38" ht="12" customHeight="1" x14ac:dyDescent="0.15">
      <c r="A40" s="66"/>
      <c r="B40" s="212"/>
      <c r="C40" s="212"/>
      <c r="D40" s="228"/>
      <c r="E40" s="229"/>
      <c r="F40" s="229"/>
      <c r="G40" s="229"/>
      <c r="H40" s="229"/>
      <c r="I40" s="229"/>
      <c r="J40" s="229"/>
      <c r="K40" s="229"/>
      <c r="L40" s="229"/>
      <c r="M40" s="229"/>
      <c r="N40" s="229"/>
      <c r="O40" s="229"/>
      <c r="P40" s="229"/>
      <c r="Q40" s="229"/>
      <c r="R40" s="229"/>
      <c r="S40" s="229"/>
      <c r="T40" s="229"/>
      <c r="U40" s="230"/>
      <c r="V40" s="216"/>
      <c r="W40" s="217"/>
      <c r="X40" s="217"/>
      <c r="Y40" s="217"/>
      <c r="Z40" s="217"/>
      <c r="AA40" s="217"/>
      <c r="AB40" s="217"/>
      <c r="AC40" s="217"/>
      <c r="AD40" s="217"/>
      <c r="AE40" s="217"/>
      <c r="AF40" s="217"/>
      <c r="AG40" s="217"/>
      <c r="AH40" s="217"/>
      <c r="AI40" s="217"/>
      <c r="AJ40" s="217"/>
      <c r="AK40" s="218"/>
      <c r="AL40" s="67"/>
    </row>
    <row r="41" spans="1:38" ht="12" customHeight="1" x14ac:dyDescent="0.15">
      <c r="A41" s="66"/>
      <c r="B41" s="213"/>
      <c r="C41" s="213"/>
      <c r="D41" s="225"/>
      <c r="E41" s="226"/>
      <c r="F41" s="226"/>
      <c r="G41" s="226"/>
      <c r="H41" s="226"/>
      <c r="I41" s="226"/>
      <c r="J41" s="226"/>
      <c r="K41" s="226"/>
      <c r="L41" s="226"/>
      <c r="M41" s="226"/>
      <c r="N41" s="226"/>
      <c r="O41" s="226"/>
      <c r="P41" s="226"/>
      <c r="Q41" s="226"/>
      <c r="R41" s="226"/>
      <c r="S41" s="226"/>
      <c r="T41" s="226"/>
      <c r="U41" s="227"/>
      <c r="V41" s="216"/>
      <c r="W41" s="217"/>
      <c r="X41" s="217"/>
      <c r="Y41" s="217"/>
      <c r="Z41" s="217"/>
      <c r="AA41" s="217"/>
      <c r="AB41" s="217"/>
      <c r="AC41" s="217"/>
      <c r="AD41" s="217"/>
      <c r="AE41" s="217"/>
      <c r="AF41" s="217"/>
      <c r="AG41" s="217"/>
      <c r="AH41" s="217"/>
      <c r="AI41" s="217"/>
      <c r="AJ41" s="217"/>
      <c r="AK41" s="218"/>
      <c r="AL41" s="67"/>
    </row>
    <row r="42" spans="1:38" ht="12" customHeight="1" x14ac:dyDescent="0.15">
      <c r="A42" s="66"/>
      <c r="AL42" s="67"/>
    </row>
    <row r="43" spans="1:38" ht="12" customHeight="1" x14ac:dyDescent="0.15">
      <c r="A43" s="66"/>
      <c r="AL43" s="67"/>
    </row>
    <row r="44" spans="1:38" ht="12" customHeight="1" x14ac:dyDescent="0.15">
      <c r="A44" s="66"/>
      <c r="AL44" s="67"/>
    </row>
    <row r="45" spans="1:38" ht="12" customHeight="1" x14ac:dyDescent="0.15">
      <c r="A45" s="66"/>
      <c r="AL45" s="67"/>
    </row>
    <row r="46" spans="1:38" ht="12" customHeight="1" x14ac:dyDescent="0.15">
      <c r="A46" s="66"/>
      <c r="AL46" s="67"/>
    </row>
    <row r="47" spans="1:38" ht="12" customHeight="1" x14ac:dyDescent="0.15">
      <c r="A47" s="66"/>
      <c r="AL47" s="67"/>
    </row>
    <row r="48" spans="1:38" ht="12" customHeight="1" x14ac:dyDescent="0.15">
      <c r="A48" s="66"/>
      <c r="AL48" s="67"/>
    </row>
    <row r="49" spans="1:38" ht="12" customHeight="1" x14ac:dyDescent="0.15">
      <c r="A49" s="66"/>
      <c r="AL49" s="67"/>
    </row>
    <row r="50" spans="1:38" ht="12" customHeight="1" x14ac:dyDescent="0.15">
      <c r="A50" s="66"/>
      <c r="AL50" s="67"/>
    </row>
    <row r="51" spans="1:38" ht="12" customHeight="1" x14ac:dyDescent="0.15">
      <c r="A51" s="66"/>
      <c r="AL51" s="67"/>
    </row>
    <row r="52" spans="1:38" ht="12" customHeight="1" x14ac:dyDescent="0.15">
      <c r="A52" s="66"/>
      <c r="B52" s="65"/>
      <c r="AL52" s="67"/>
    </row>
    <row r="53" spans="1:38" ht="12" customHeight="1" x14ac:dyDescent="0.15">
      <c r="A53" s="66"/>
      <c r="AL53" s="67"/>
    </row>
    <row r="54" spans="1:38" ht="12" customHeight="1" x14ac:dyDescent="0.15">
      <c r="A54" s="66"/>
      <c r="AL54" s="67"/>
    </row>
    <row r="55" spans="1:38" ht="12" customHeight="1" x14ac:dyDescent="0.15">
      <c r="A55" s="66"/>
      <c r="AL55" s="67"/>
    </row>
    <row r="56" spans="1:38" ht="12" customHeight="1" x14ac:dyDescent="0.15">
      <c r="A56" s="66"/>
      <c r="AL56" s="67"/>
    </row>
    <row r="57" spans="1:38" ht="12" customHeight="1" x14ac:dyDescent="0.15">
      <c r="A57" s="66"/>
      <c r="B57" s="77"/>
      <c r="G57" s="65"/>
      <c r="AL57" s="67"/>
    </row>
    <row r="58" spans="1:38" ht="12" customHeight="1" x14ac:dyDescent="0.15">
      <c r="A58" s="66"/>
      <c r="AL58" s="67"/>
    </row>
    <row r="59" spans="1:38" ht="12" customHeight="1" x14ac:dyDescent="0.15">
      <c r="A59" s="71"/>
      <c r="B59" s="72"/>
      <c r="C59" s="72"/>
      <c r="D59" s="72"/>
      <c r="E59" s="72"/>
      <c r="F59" s="72"/>
      <c r="G59" s="72"/>
      <c r="H59" s="72"/>
      <c r="I59" s="72"/>
      <c r="J59" s="72"/>
      <c r="K59" s="72"/>
      <c r="L59" s="72"/>
      <c r="M59" s="72"/>
      <c r="N59" s="72"/>
      <c r="O59" s="72"/>
      <c r="P59" s="72"/>
      <c r="Q59" s="72"/>
      <c r="R59" s="72"/>
      <c r="S59" s="72"/>
      <c r="T59" s="72"/>
      <c r="U59" s="72"/>
      <c r="V59" s="72"/>
      <c r="W59" s="72"/>
      <c r="X59" s="72"/>
      <c r="Y59" s="72"/>
      <c r="Z59" s="72"/>
      <c r="AA59" s="72"/>
      <c r="AB59" s="72"/>
      <c r="AC59" s="72"/>
      <c r="AD59" s="72"/>
      <c r="AE59" s="72"/>
      <c r="AF59" s="72"/>
      <c r="AG59" s="72"/>
      <c r="AH59" s="72"/>
      <c r="AI59" s="72"/>
      <c r="AJ59" s="72"/>
      <c r="AK59" s="72"/>
      <c r="AL59" s="73"/>
    </row>
  </sheetData>
  <sheetProtection algorithmName="SHA-512" hashValue="BYNq8YZ907itgLJ69IiELL4O6ccFP9sE+Hf6XvGW8E950YyhfGIGd1W8/vqLohpBiHpQz106+Nvw4vRiqqUYww==" saltValue="Wl9FcXP67O1Zg+6pFgX16g==" spinCount="100000" sheet="1" objects="1" scenarios="1"/>
  <mergeCells count="80">
    <mergeCell ref="V39:AK41"/>
    <mergeCell ref="D30:U30"/>
    <mergeCell ref="D31:U32"/>
    <mergeCell ref="D33:U34"/>
    <mergeCell ref="D35:U36"/>
    <mergeCell ref="D37:U38"/>
    <mergeCell ref="D39:U41"/>
    <mergeCell ref="V30:AK30"/>
    <mergeCell ref="V31:AK32"/>
    <mergeCell ref="V33:AK34"/>
    <mergeCell ref="V35:AK36"/>
    <mergeCell ref="V37:AK38"/>
    <mergeCell ref="B39:C41"/>
    <mergeCell ref="B35:C36"/>
    <mergeCell ref="B37:C38"/>
    <mergeCell ref="B31:C32"/>
    <mergeCell ref="B33:C34"/>
    <mergeCell ref="B30:C30"/>
    <mergeCell ref="B20:E21"/>
    <mergeCell ref="F20:T21"/>
    <mergeCell ref="U20:X21"/>
    <mergeCell ref="Y20:AK21"/>
    <mergeCell ref="B22:E23"/>
    <mergeCell ref="F22:T23"/>
    <mergeCell ref="U22:X23"/>
    <mergeCell ref="Y22:AK23"/>
    <mergeCell ref="B24:E25"/>
    <mergeCell ref="F24:T25"/>
    <mergeCell ref="U24:X25"/>
    <mergeCell ref="Y24:AK25"/>
    <mergeCell ref="B16:E17"/>
    <mergeCell ref="F16:T17"/>
    <mergeCell ref="U16:X17"/>
    <mergeCell ref="Y16:AK17"/>
    <mergeCell ref="B18:E19"/>
    <mergeCell ref="F18:T19"/>
    <mergeCell ref="U18:X19"/>
    <mergeCell ref="Y18:AK19"/>
    <mergeCell ref="B12:E13"/>
    <mergeCell ref="F12:T13"/>
    <mergeCell ref="U12:X13"/>
    <mergeCell ref="Y12:AK13"/>
    <mergeCell ref="B14:E15"/>
    <mergeCell ref="F14:T15"/>
    <mergeCell ref="U14:X15"/>
    <mergeCell ref="Y14:AK15"/>
    <mergeCell ref="B9:E9"/>
    <mergeCell ref="F9:T9"/>
    <mergeCell ref="U9:X9"/>
    <mergeCell ref="Y9:AK9"/>
    <mergeCell ref="B10:E11"/>
    <mergeCell ref="F10:T11"/>
    <mergeCell ref="U10:X11"/>
    <mergeCell ref="Y10:AK11"/>
    <mergeCell ref="B4:E4"/>
    <mergeCell ref="G4:W4"/>
    <mergeCell ref="X4:AD4"/>
    <mergeCell ref="AE4:AH4"/>
    <mergeCell ref="AI4:AL4"/>
    <mergeCell ref="B8:E8"/>
    <mergeCell ref="F8:T8"/>
    <mergeCell ref="U8:X8"/>
    <mergeCell ref="Y8:AK8"/>
    <mergeCell ref="AI2:AL2"/>
    <mergeCell ref="B3:E3"/>
    <mergeCell ref="G3:W3"/>
    <mergeCell ref="X3:Z3"/>
    <mergeCell ref="AB3:AD3"/>
    <mergeCell ref="AE3:AH3"/>
    <mergeCell ref="AI3:AL3"/>
    <mergeCell ref="B2:E2"/>
    <mergeCell ref="G2:W2"/>
    <mergeCell ref="X2:Z2"/>
    <mergeCell ref="AB2:AD2"/>
    <mergeCell ref="AE2:AH2"/>
    <mergeCell ref="B1:E1"/>
    <mergeCell ref="G1:W1"/>
    <mergeCell ref="X1:Z1"/>
    <mergeCell ref="AB1:AD1"/>
    <mergeCell ref="AE1:AL1"/>
  </mergeCells>
  <printOptions horizontalCentered="1"/>
  <pageMargins left="0.31496062992125984" right="0.31496062992125984" top="0.55118110236220474" bottom="0.55118110236220474" header="0.31496062992125984" footer="0.31496062992125984"/>
  <pageSetup paperSize="9" fitToHeight="0" orientation="portrait" useFirstPageNumber="1" r:id="rId1"/>
  <headerFooter>
    <oddHeader>&amp;L&amp;"Tahoma,Regular"&amp;8&amp;K03+000User: Srinivasa Rao Masanam</oddHeader>
    <oddFooter>&amp;R&amp;"Tahoma,Regular"&amp;8&amp;K03+000Licensed to: VSquare Consulting Engineers</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roopCalcs"/>
  <dimension ref="A1:AP43"/>
  <sheetViews>
    <sheetView showGridLines="0" topLeftCell="A10" zoomScaleNormal="100" workbookViewId="0">
      <selection activeCell="R40" sqref="R40:U40"/>
    </sheetView>
  </sheetViews>
  <sheetFormatPr defaultColWidth="3.1640625" defaultRowHeight="17.25" x14ac:dyDescent="0.4"/>
  <cols>
    <col min="1" max="1" width="2" style="3" customWidth="1"/>
    <col min="2" max="9" width="3.1640625" style="3"/>
    <col min="10" max="10" width="3.6640625" style="3" bestFit="1" customWidth="1"/>
    <col min="11" max="14" width="3.1640625" style="3"/>
    <col min="15" max="15" width="3.1640625" style="3" customWidth="1"/>
    <col min="16" max="17" width="3.1640625" style="3"/>
    <col min="18" max="18" width="3.1640625" style="3" customWidth="1"/>
    <col min="19" max="19" width="3.1640625" style="3"/>
    <col min="20" max="20" width="3.6640625" style="3" bestFit="1" customWidth="1"/>
    <col min="21" max="16384" width="3.1640625" style="3"/>
  </cols>
  <sheetData>
    <row r="1" spans="1:42" ht="15" customHeight="1" x14ac:dyDescent="0.4">
      <c r="A1" s="1"/>
      <c r="B1" s="267" t="s">
        <v>0</v>
      </c>
      <c r="C1" s="267"/>
      <c r="D1" s="267"/>
      <c r="E1" s="267"/>
      <c r="F1" s="2" t="s">
        <v>1</v>
      </c>
      <c r="G1" s="275" t="s">
        <v>2</v>
      </c>
      <c r="H1" s="275"/>
      <c r="I1" s="275"/>
      <c r="J1" s="275"/>
      <c r="K1" s="275"/>
      <c r="L1" s="275"/>
      <c r="M1" s="275"/>
      <c r="N1" s="275"/>
      <c r="O1" s="275"/>
      <c r="P1" s="275"/>
      <c r="Q1" s="275"/>
      <c r="R1" s="276"/>
      <c r="S1" s="266" t="s">
        <v>3</v>
      </c>
      <c r="T1" s="267"/>
      <c r="U1" s="267"/>
      <c r="V1" s="2" t="s">
        <v>1</v>
      </c>
      <c r="W1" s="268" t="s">
        <v>4</v>
      </c>
      <c r="X1" s="268"/>
      <c r="Y1" s="269"/>
      <c r="Z1" s="270" t="s">
        <v>5</v>
      </c>
      <c r="AA1" s="270"/>
      <c r="AB1" s="270"/>
      <c r="AC1" s="270"/>
      <c r="AD1" s="270"/>
      <c r="AE1" s="270"/>
      <c r="AF1" s="270"/>
      <c r="AG1" s="270"/>
    </row>
    <row r="2" spans="1:42" ht="15" customHeight="1" x14ac:dyDescent="0.4">
      <c r="A2" s="1"/>
      <c r="B2" s="267" t="s">
        <v>6</v>
      </c>
      <c r="C2" s="267"/>
      <c r="D2" s="267"/>
      <c r="E2" s="267"/>
      <c r="F2" s="2" t="s">
        <v>1</v>
      </c>
      <c r="G2" s="275" t="s">
        <v>7</v>
      </c>
      <c r="H2" s="275"/>
      <c r="I2" s="275"/>
      <c r="J2" s="275"/>
      <c r="K2" s="275"/>
      <c r="L2" s="275"/>
      <c r="M2" s="275"/>
      <c r="N2" s="275"/>
      <c r="O2" s="275"/>
      <c r="P2" s="275"/>
      <c r="Q2" s="275"/>
      <c r="R2" s="276"/>
      <c r="S2" s="266" t="s">
        <v>8</v>
      </c>
      <c r="T2" s="267"/>
      <c r="U2" s="267"/>
      <c r="V2" s="2" t="s">
        <v>1</v>
      </c>
      <c r="W2" s="268" t="s">
        <v>9</v>
      </c>
      <c r="X2" s="268"/>
      <c r="Y2" s="269"/>
      <c r="Z2" s="270" t="s">
        <v>10</v>
      </c>
      <c r="AA2" s="270"/>
      <c r="AB2" s="270"/>
      <c r="AC2" s="270"/>
      <c r="AD2" s="270" t="s">
        <v>11</v>
      </c>
      <c r="AE2" s="270"/>
      <c r="AF2" s="270"/>
      <c r="AG2" s="270"/>
    </row>
    <row r="3" spans="1:42" ht="15" customHeight="1" thickBot="1" x14ac:dyDescent="0.45">
      <c r="A3" s="1"/>
      <c r="B3" s="267" t="s">
        <v>12</v>
      </c>
      <c r="C3" s="267"/>
      <c r="D3" s="267"/>
      <c r="E3" s="267"/>
      <c r="F3" s="2" t="s">
        <v>1</v>
      </c>
      <c r="G3" s="275" t="s">
        <v>13</v>
      </c>
      <c r="H3" s="275"/>
      <c r="I3" s="275"/>
      <c r="J3" s="275"/>
      <c r="K3" s="275"/>
      <c r="L3" s="275"/>
      <c r="M3" s="275"/>
      <c r="N3" s="275"/>
      <c r="O3" s="275"/>
      <c r="P3" s="275"/>
      <c r="Q3" s="275"/>
      <c r="R3" s="276"/>
      <c r="S3" s="266" t="s">
        <v>14</v>
      </c>
      <c r="T3" s="267"/>
      <c r="U3" s="267"/>
      <c r="V3" s="2" t="s">
        <v>1</v>
      </c>
      <c r="W3" s="268" t="s">
        <v>15</v>
      </c>
      <c r="X3" s="268"/>
      <c r="Y3" s="269"/>
      <c r="Z3" s="277" t="s">
        <v>16</v>
      </c>
      <c r="AA3" s="277"/>
      <c r="AB3" s="277"/>
      <c r="AC3" s="277"/>
      <c r="AD3" s="277" t="s">
        <v>16</v>
      </c>
      <c r="AE3" s="277"/>
      <c r="AF3" s="277"/>
      <c r="AG3" s="277"/>
      <c r="AL3" s="4" t="s">
        <v>65</v>
      </c>
      <c r="AM3" s="5"/>
      <c r="AN3" s="5"/>
      <c r="AO3" s="5"/>
      <c r="AP3" s="6"/>
    </row>
    <row r="4" spans="1:42" ht="15" customHeight="1" thickTop="1" x14ac:dyDescent="0.4">
      <c r="A4" s="1"/>
      <c r="B4" s="267" t="s">
        <v>17</v>
      </c>
      <c r="C4" s="267"/>
      <c r="D4" s="267"/>
      <c r="E4" s="267"/>
      <c r="F4" s="2" t="s">
        <v>1</v>
      </c>
      <c r="G4" s="273" t="s">
        <v>18</v>
      </c>
      <c r="H4" s="273"/>
      <c r="I4" s="273"/>
      <c r="J4" s="273"/>
      <c r="K4" s="273"/>
      <c r="L4" s="273"/>
      <c r="M4" s="273"/>
      <c r="N4" s="273"/>
      <c r="O4" s="273"/>
      <c r="P4" s="273"/>
      <c r="Q4" s="273"/>
      <c r="R4" s="274"/>
      <c r="S4" s="271" t="s">
        <v>19</v>
      </c>
      <c r="T4" s="271"/>
      <c r="U4" s="271"/>
      <c r="V4" s="271"/>
      <c r="W4" s="271"/>
      <c r="X4" s="271"/>
      <c r="Y4" s="271"/>
      <c r="Z4" s="272">
        <v>43000</v>
      </c>
      <c r="AA4" s="272"/>
      <c r="AB4" s="272"/>
      <c r="AC4" s="272"/>
      <c r="AD4" s="259">
        <f ca="1">TODAY()</f>
        <v>43672</v>
      </c>
      <c r="AE4" s="259"/>
      <c r="AF4" s="259"/>
      <c r="AG4" s="259"/>
    </row>
    <row r="5" spans="1:42" x14ac:dyDescent="0.4">
      <c r="A5" s="7"/>
      <c r="B5" s="8"/>
      <c r="C5" s="8"/>
      <c r="D5" s="8"/>
      <c r="E5" s="8"/>
      <c r="F5" s="8"/>
      <c r="G5" s="8"/>
      <c r="H5" s="8"/>
      <c r="I5" s="8"/>
      <c r="J5" s="8"/>
      <c r="K5" s="8"/>
      <c r="L5" s="8"/>
      <c r="M5" s="8"/>
      <c r="N5" s="8"/>
      <c r="O5" s="8"/>
      <c r="P5" s="8"/>
      <c r="Q5" s="8"/>
      <c r="R5" s="8"/>
      <c r="S5" s="8"/>
      <c r="T5" s="8"/>
      <c r="U5" s="8"/>
      <c r="V5" s="8"/>
      <c r="W5" s="8"/>
      <c r="X5" s="8"/>
      <c r="Y5" s="8"/>
      <c r="Z5" s="8"/>
      <c r="AA5" s="8"/>
      <c r="AB5" s="8"/>
      <c r="AC5" s="8"/>
      <c r="AD5" s="8"/>
      <c r="AE5" s="8"/>
      <c r="AF5" s="8"/>
      <c r="AG5" s="9"/>
    </row>
    <row r="6" spans="1:42" x14ac:dyDescent="0.4">
      <c r="A6" s="10"/>
      <c r="B6" s="11" t="s">
        <v>20</v>
      </c>
      <c r="K6" s="12"/>
      <c r="AG6" s="13"/>
    </row>
    <row r="7" spans="1:42" x14ac:dyDescent="0.4">
      <c r="A7" s="10"/>
      <c r="AG7" s="13"/>
    </row>
    <row r="8" spans="1:42" x14ac:dyDescent="0.4">
      <c r="A8" s="10"/>
      <c r="B8" s="3" t="s">
        <v>21</v>
      </c>
      <c r="J8" s="14" t="s">
        <v>1</v>
      </c>
      <c r="K8" s="262">
        <f>'Geometry Input'!X36</f>
        <v>45</v>
      </c>
      <c r="L8" s="263"/>
      <c r="M8" s="263"/>
      <c r="N8" s="263"/>
      <c r="P8" s="12" t="s">
        <v>22</v>
      </c>
      <c r="Q8" s="3" t="s">
        <v>23</v>
      </c>
      <c r="Y8" s="14" t="s">
        <v>1</v>
      </c>
      <c r="Z8" s="264">
        <f>'Geometry Input'!X15</f>
        <v>24</v>
      </c>
      <c r="AA8" s="265"/>
      <c r="AB8" s="265"/>
      <c r="AC8" s="265"/>
      <c r="AG8" s="13"/>
    </row>
    <row r="9" spans="1:42" x14ac:dyDescent="0.4">
      <c r="A9" s="10"/>
      <c r="B9" s="3" t="s">
        <v>24</v>
      </c>
      <c r="C9" s="15"/>
      <c r="AG9" s="13"/>
    </row>
    <row r="10" spans="1:42" x14ac:dyDescent="0.4">
      <c r="A10" s="10"/>
      <c r="H10" s="14" t="s">
        <v>25</v>
      </c>
      <c r="J10" s="14" t="s">
        <v>26</v>
      </c>
      <c r="K10" s="240">
        <f>(2*(K8/2*1000)*SIN((360/Z8)/2*PI()/180))/2</f>
        <v>2936.8393249511605</v>
      </c>
      <c r="L10" s="241"/>
      <c r="M10" s="241"/>
      <c r="N10" s="241"/>
      <c r="V10" s="7"/>
      <c r="W10" s="8"/>
      <c r="X10" s="8"/>
      <c r="Y10" s="8"/>
      <c r="Z10" s="8"/>
      <c r="AA10" s="8"/>
      <c r="AB10" s="8"/>
      <c r="AC10" s="8"/>
      <c r="AD10" s="8"/>
      <c r="AE10" s="16"/>
      <c r="AG10" s="13"/>
      <c r="AL10" s="99"/>
      <c r="AM10" s="100"/>
      <c r="AN10" s="100"/>
      <c r="AO10" s="100"/>
    </row>
    <row r="11" spans="1:42" x14ac:dyDescent="0.4">
      <c r="A11" s="10"/>
      <c r="B11" s="3" t="s">
        <v>27</v>
      </c>
      <c r="V11" s="10"/>
      <c r="AE11" s="17"/>
      <c r="AG11" s="13"/>
    </row>
    <row r="12" spans="1:42" x14ac:dyDescent="0.4">
      <c r="A12" s="10"/>
      <c r="H12" s="14" t="s">
        <v>28</v>
      </c>
      <c r="J12" s="14" t="s">
        <v>26</v>
      </c>
      <c r="K12" s="260">
        <f>'Geometry Input'!X30*1000</f>
        <v>0</v>
      </c>
      <c r="L12" s="261"/>
      <c r="M12" s="261"/>
      <c r="N12" s="261"/>
      <c r="V12" s="10"/>
      <c r="AE12" s="17"/>
      <c r="AG12" s="13"/>
    </row>
    <row r="13" spans="1:42" x14ac:dyDescent="0.4">
      <c r="A13" s="10"/>
      <c r="V13" s="10"/>
      <c r="AE13" s="17"/>
      <c r="AG13" s="13"/>
    </row>
    <row r="14" spans="1:42" ht="19.5" x14ac:dyDescent="0.4">
      <c r="A14" s="10"/>
      <c r="B14" s="18" t="s">
        <v>29</v>
      </c>
      <c r="J14" s="12" t="s">
        <v>1</v>
      </c>
      <c r="K14" s="19" t="s">
        <v>30</v>
      </c>
      <c r="L14" s="20"/>
      <c r="M14" s="20"/>
      <c r="N14" s="20"/>
      <c r="O14" s="21" t="s">
        <v>26</v>
      </c>
      <c r="P14" s="22" t="s">
        <v>31</v>
      </c>
      <c r="Q14" s="23"/>
      <c r="V14" s="10"/>
      <c r="AE14" s="17"/>
      <c r="AG14" s="13"/>
    </row>
    <row r="15" spans="1:42" x14ac:dyDescent="0.4">
      <c r="A15" s="10"/>
      <c r="V15" s="10"/>
      <c r="AE15" s="17"/>
      <c r="AF15" s="24"/>
      <c r="AG15" s="25"/>
    </row>
    <row r="16" spans="1:42" ht="19.5" x14ac:dyDescent="0.4">
      <c r="A16" s="10"/>
      <c r="B16" s="26" t="s">
        <v>32</v>
      </c>
      <c r="C16" s="18" t="s">
        <v>33</v>
      </c>
      <c r="H16" s="14" t="s">
        <v>26</v>
      </c>
      <c r="J16" s="18" t="s">
        <v>34</v>
      </c>
      <c r="K16" s="12"/>
      <c r="R16" s="27"/>
      <c r="S16" s="27"/>
      <c r="T16" s="27"/>
      <c r="V16" s="10"/>
      <c r="AE16" s="17"/>
      <c r="AF16" s="24"/>
      <c r="AG16" s="25"/>
    </row>
    <row r="17" spans="1:33" ht="19.5" x14ac:dyDescent="0.4">
      <c r="A17" s="10"/>
      <c r="B17" s="26" t="s">
        <v>32</v>
      </c>
      <c r="C17" s="18" t="s">
        <v>35</v>
      </c>
      <c r="H17" s="14" t="s">
        <v>26</v>
      </c>
      <c r="J17" s="18" t="s">
        <v>34</v>
      </c>
      <c r="K17" s="12"/>
      <c r="L17" s="28"/>
      <c r="M17" s="29"/>
      <c r="V17" s="10"/>
      <c r="AE17" s="17"/>
      <c r="AG17" s="13"/>
    </row>
    <row r="18" spans="1:33" ht="19.5" x14ac:dyDescent="0.4">
      <c r="A18" s="10"/>
      <c r="B18" s="26" t="s">
        <v>32</v>
      </c>
      <c r="C18" s="18" t="s">
        <v>36</v>
      </c>
      <c r="H18" s="14" t="s">
        <v>26</v>
      </c>
      <c r="J18" s="18" t="s">
        <v>37</v>
      </c>
      <c r="K18" s="12"/>
      <c r="L18" s="28"/>
      <c r="M18" s="29"/>
      <c r="U18" s="28"/>
      <c r="V18" s="30"/>
      <c r="W18" s="246" t="s">
        <v>38</v>
      </c>
      <c r="X18" s="247"/>
      <c r="Y18" s="247"/>
      <c r="Z18" s="247"/>
      <c r="AA18" s="247"/>
      <c r="AB18" s="247"/>
      <c r="AC18" s="247"/>
      <c r="AD18" s="247"/>
      <c r="AE18" s="17"/>
      <c r="AG18" s="13"/>
    </row>
    <row r="19" spans="1:33" ht="18" thickBot="1" x14ac:dyDescent="0.45">
      <c r="A19" s="10"/>
      <c r="M19" s="12"/>
      <c r="N19" s="27"/>
      <c r="O19" s="27"/>
      <c r="P19" s="27"/>
      <c r="U19" s="28"/>
      <c r="V19" s="31"/>
      <c r="W19" s="32"/>
      <c r="X19" s="32"/>
      <c r="Y19" s="32"/>
      <c r="Z19" s="32"/>
      <c r="AA19" s="33"/>
      <c r="AB19" s="33"/>
      <c r="AC19" s="33"/>
      <c r="AD19" s="32"/>
      <c r="AE19" s="34"/>
      <c r="AG19" s="13"/>
    </row>
    <row r="20" spans="1:33" ht="20.25" thickTop="1" x14ac:dyDescent="0.4">
      <c r="A20" s="10"/>
      <c r="F20" s="248" t="s">
        <v>39</v>
      </c>
      <c r="G20" s="249"/>
      <c r="H20" s="252" t="s">
        <v>26</v>
      </c>
      <c r="I20" s="253" t="s">
        <v>37</v>
      </c>
      <c r="J20" s="254"/>
      <c r="K20" s="255"/>
      <c r="M20" s="12"/>
      <c r="N20" s="27"/>
      <c r="O20" s="27"/>
      <c r="P20" s="27"/>
      <c r="AG20" s="13"/>
    </row>
    <row r="21" spans="1:33" x14ac:dyDescent="0.4">
      <c r="A21" s="10"/>
      <c r="E21" s="35"/>
      <c r="F21" s="250"/>
      <c r="G21" s="251"/>
      <c r="H21" s="251"/>
      <c r="I21" s="256" t="s">
        <v>40</v>
      </c>
      <c r="J21" s="257"/>
      <c r="K21" s="258"/>
      <c r="L21" s="35"/>
      <c r="M21" s="12"/>
      <c r="N21" s="27"/>
      <c r="O21" s="36"/>
      <c r="P21" s="36"/>
      <c r="Q21" s="36"/>
      <c r="AG21" s="13"/>
    </row>
    <row r="22" spans="1:33" x14ac:dyDescent="0.4">
      <c r="A22" s="10"/>
      <c r="C22" s="15"/>
      <c r="E22" s="35"/>
      <c r="F22" s="12"/>
      <c r="G22" s="27"/>
      <c r="H22" s="37"/>
      <c r="I22" s="37"/>
      <c r="J22" s="37"/>
      <c r="L22" s="35"/>
      <c r="M22" s="12"/>
      <c r="N22" s="27"/>
      <c r="O22" s="37"/>
      <c r="P22" s="37"/>
      <c r="Q22" s="37"/>
      <c r="AG22" s="13"/>
    </row>
    <row r="23" spans="1:33" ht="19.5" x14ac:dyDescent="0.4">
      <c r="A23" s="10"/>
      <c r="B23" s="26" t="s">
        <v>32</v>
      </c>
      <c r="C23" s="18" t="s">
        <v>41</v>
      </c>
      <c r="L23" s="38" t="s">
        <v>42</v>
      </c>
      <c r="N23" s="14" t="s">
        <v>26</v>
      </c>
      <c r="O23" s="18" t="s">
        <v>43</v>
      </c>
      <c r="S23" s="18" t="s">
        <v>44</v>
      </c>
      <c r="AG23" s="13"/>
    </row>
    <row r="24" spans="1:33" x14ac:dyDescent="0.4">
      <c r="A24" s="10"/>
      <c r="D24" s="39"/>
      <c r="M24" s="12"/>
      <c r="N24" s="27"/>
      <c r="O24" s="27"/>
      <c r="P24" s="27"/>
      <c r="AG24" s="13"/>
    </row>
    <row r="25" spans="1:33" x14ac:dyDescent="0.4">
      <c r="A25" s="10"/>
      <c r="B25" s="18" t="s">
        <v>45</v>
      </c>
      <c r="D25" s="39"/>
      <c r="M25" s="12"/>
      <c r="N25" s="27"/>
      <c r="O25" s="27"/>
      <c r="P25" s="27"/>
      <c r="AG25" s="13"/>
    </row>
    <row r="26" spans="1:33" x14ac:dyDescent="0.4">
      <c r="A26" s="10"/>
      <c r="B26" s="18" t="s">
        <v>46</v>
      </c>
      <c r="N26" s="12"/>
      <c r="O26" s="40"/>
      <c r="P26" s="41"/>
      <c r="S26" s="42" t="s">
        <v>47</v>
      </c>
      <c r="U26" s="42" t="s">
        <v>26</v>
      </c>
      <c r="V26" s="240" t="e">
        <f>(K12^2+K10^2)/(2*K12)</f>
        <v>#DIV/0!</v>
      </c>
      <c r="W26" s="241"/>
      <c r="X26" s="241"/>
      <c r="Y26" s="241"/>
      <c r="Z26" s="242"/>
      <c r="AA26" s="242"/>
      <c r="AG26" s="13"/>
    </row>
    <row r="27" spans="1:33" x14ac:dyDescent="0.4">
      <c r="A27" s="10"/>
      <c r="B27" s="18" t="s">
        <v>48</v>
      </c>
      <c r="N27" s="12"/>
      <c r="O27" s="40"/>
      <c r="P27" s="41"/>
      <c r="S27" s="43" t="s">
        <v>49</v>
      </c>
      <c r="U27" s="42" t="s">
        <v>26</v>
      </c>
      <c r="V27" s="243" t="e">
        <f>2*ASIN(K10/V26)*180/PI()</f>
        <v>#DIV/0!</v>
      </c>
      <c r="W27" s="244"/>
      <c r="X27" s="244"/>
      <c r="Y27" s="244"/>
      <c r="Z27" s="245"/>
      <c r="AA27" s="245"/>
      <c r="AG27" s="13"/>
    </row>
    <row r="28" spans="1:33" x14ac:dyDescent="0.4">
      <c r="A28" s="10"/>
      <c r="B28" s="18" t="s">
        <v>50</v>
      </c>
      <c r="N28" s="12"/>
      <c r="O28" s="40"/>
      <c r="P28" s="41"/>
      <c r="S28" s="42" t="s">
        <v>51</v>
      </c>
      <c r="U28" s="42" t="s">
        <v>26</v>
      </c>
      <c r="V28" s="240" t="e">
        <f>V26-K12</f>
        <v>#DIV/0!</v>
      </c>
      <c r="W28" s="241"/>
      <c r="X28" s="241"/>
      <c r="Y28" s="241"/>
      <c r="Z28" s="242"/>
      <c r="AA28" s="242"/>
      <c r="AG28" s="13"/>
    </row>
    <row r="29" spans="1:33" x14ac:dyDescent="0.4">
      <c r="A29" s="10"/>
      <c r="B29" s="44" t="s">
        <v>52</v>
      </c>
      <c r="N29" s="12"/>
      <c r="O29" s="40"/>
      <c r="P29" s="41"/>
      <c r="Q29" s="41"/>
      <c r="AG29" s="13"/>
    </row>
    <row r="30" spans="1:33" x14ac:dyDescent="0.4">
      <c r="A30" s="10"/>
      <c r="G30" s="12"/>
      <c r="H30" s="12"/>
      <c r="I30" s="12"/>
      <c r="N30" s="12"/>
      <c r="O30" s="40"/>
      <c r="P30" s="41"/>
      <c r="Q30" s="41"/>
      <c r="T30" s="45"/>
      <c r="U30" s="45"/>
      <c r="V30" s="45"/>
      <c r="W30" s="45"/>
      <c r="X30" s="45"/>
      <c r="Z30" s="45"/>
      <c r="AA30" s="45"/>
      <c r="AB30" s="45"/>
      <c r="AC30" s="45"/>
      <c r="AD30" s="45"/>
      <c r="AE30" s="45"/>
      <c r="AF30" s="45"/>
      <c r="AG30" s="13"/>
    </row>
    <row r="31" spans="1:33" x14ac:dyDescent="0.4">
      <c r="A31" s="10"/>
      <c r="B31" s="18" t="s">
        <v>53</v>
      </c>
      <c r="G31" s="12"/>
      <c r="H31" s="12"/>
      <c r="I31" s="12"/>
      <c r="J31" s="12"/>
      <c r="K31" s="12"/>
      <c r="L31" s="12"/>
      <c r="M31" s="12"/>
      <c r="N31" s="12"/>
      <c r="O31" s="14" t="s">
        <v>54</v>
      </c>
      <c r="Q31" s="14" t="s">
        <v>26</v>
      </c>
      <c r="R31" s="234">
        <v>0</v>
      </c>
      <c r="S31" s="235"/>
      <c r="T31" s="235"/>
      <c r="U31" s="235"/>
      <c r="V31" s="45"/>
      <c r="W31" s="45"/>
      <c r="X31" s="45"/>
      <c r="Y31" s="45"/>
      <c r="Z31" s="45"/>
      <c r="AA31" s="45"/>
      <c r="AB31" s="45"/>
      <c r="AC31" s="45"/>
      <c r="AD31" s="45"/>
      <c r="AE31" s="45"/>
      <c r="AF31" s="45"/>
      <c r="AG31" s="13"/>
    </row>
    <row r="32" spans="1:33" x14ac:dyDescent="0.4">
      <c r="A32" s="10"/>
      <c r="B32" s="18" t="s">
        <v>55</v>
      </c>
      <c r="G32" s="46"/>
      <c r="H32" s="46"/>
      <c r="I32" s="46"/>
      <c r="J32" s="46"/>
      <c r="K32" s="46"/>
      <c r="L32" s="46"/>
      <c r="M32" s="46"/>
      <c r="N32" s="12"/>
      <c r="O32" s="47" t="s">
        <v>56</v>
      </c>
      <c r="P32" s="41"/>
      <c r="Q32" s="14" t="s">
        <v>26</v>
      </c>
      <c r="R32" s="243" t="e">
        <f>(R31/V26)*180/PI()</f>
        <v>#DIV/0!</v>
      </c>
      <c r="S32" s="244"/>
      <c r="T32" s="244"/>
      <c r="U32" s="244"/>
      <c r="V32" s="245"/>
      <c r="W32" s="245"/>
      <c r="X32" s="27"/>
      <c r="Y32" s="12"/>
      <c r="Z32" s="12"/>
      <c r="AA32" s="27"/>
      <c r="AB32" s="27"/>
      <c r="AC32" s="27"/>
      <c r="AD32" s="27"/>
      <c r="AE32" s="27"/>
      <c r="AF32" s="27"/>
      <c r="AG32" s="13"/>
    </row>
    <row r="33" spans="1:33" x14ac:dyDescent="0.4">
      <c r="A33" s="10"/>
      <c r="G33" s="46"/>
      <c r="H33" s="46"/>
      <c r="I33" s="46"/>
      <c r="J33" s="46"/>
      <c r="K33" s="46"/>
      <c r="L33" s="46"/>
      <c r="M33" s="46"/>
      <c r="N33" s="12"/>
      <c r="O33" s="48"/>
      <c r="P33" s="49"/>
      <c r="R33" s="12"/>
      <c r="S33" s="50"/>
      <c r="T33" s="27"/>
      <c r="U33" s="27"/>
      <c r="V33" s="27"/>
      <c r="W33" s="27"/>
      <c r="X33" s="27"/>
      <c r="Y33" s="12"/>
      <c r="Z33" s="12"/>
      <c r="AA33" s="27"/>
      <c r="AB33" s="27"/>
      <c r="AC33" s="27"/>
      <c r="AD33" s="27"/>
      <c r="AE33" s="27"/>
      <c r="AF33" s="27"/>
      <c r="AG33" s="13"/>
    </row>
    <row r="34" spans="1:33" x14ac:dyDescent="0.4">
      <c r="A34" s="10"/>
      <c r="G34" s="46"/>
      <c r="H34" s="46"/>
      <c r="I34" s="46"/>
      <c r="J34" s="46"/>
      <c r="K34" s="46"/>
      <c r="L34" s="46"/>
      <c r="M34" s="46"/>
      <c r="N34" s="12"/>
      <c r="O34" s="40"/>
      <c r="P34" s="41"/>
      <c r="Q34" s="41"/>
      <c r="R34" s="50"/>
      <c r="S34" s="12"/>
      <c r="T34" s="27"/>
      <c r="U34" s="27"/>
      <c r="V34" s="27"/>
      <c r="W34" s="27"/>
      <c r="X34" s="27"/>
      <c r="Y34" s="12"/>
      <c r="Z34" s="12"/>
      <c r="AA34" s="27"/>
      <c r="AB34" s="27"/>
      <c r="AC34" s="27"/>
      <c r="AD34" s="27"/>
      <c r="AE34" s="27"/>
      <c r="AF34" s="27"/>
      <c r="AG34" s="13"/>
    </row>
    <row r="35" spans="1:33" x14ac:dyDescent="0.4">
      <c r="A35" s="10"/>
      <c r="B35" s="18" t="s">
        <v>57</v>
      </c>
      <c r="N35" s="12"/>
      <c r="O35" s="40"/>
      <c r="P35" s="41"/>
      <c r="R35" s="43" t="s">
        <v>58</v>
      </c>
      <c r="U35" s="42" t="s">
        <v>26</v>
      </c>
      <c r="V35" s="243" t="e">
        <f>V27-R32</f>
        <v>#DIV/0!</v>
      </c>
      <c r="W35" s="244"/>
      <c r="X35" s="244"/>
      <c r="Y35" s="244"/>
      <c r="Z35" s="245"/>
      <c r="AA35" s="245"/>
      <c r="AB35" s="27"/>
      <c r="AC35" s="27"/>
      <c r="AD35" s="27"/>
      <c r="AE35" s="27"/>
      <c r="AF35" s="27"/>
      <c r="AG35" s="13"/>
    </row>
    <row r="36" spans="1:33" x14ac:dyDescent="0.4">
      <c r="A36" s="10"/>
      <c r="G36" s="46"/>
      <c r="H36" s="46"/>
      <c r="I36" s="46"/>
      <c r="J36" s="46"/>
      <c r="K36" s="46"/>
      <c r="L36" s="46"/>
      <c r="M36" s="46"/>
      <c r="N36" s="12"/>
      <c r="O36" s="51"/>
      <c r="P36" s="52"/>
      <c r="Q36" s="52"/>
      <c r="R36" s="49"/>
      <c r="S36" s="12"/>
      <c r="T36" s="27"/>
      <c r="U36" s="27"/>
      <c r="V36" s="27"/>
      <c r="W36" s="27"/>
      <c r="X36" s="27"/>
      <c r="Y36" s="12"/>
      <c r="Z36" s="12"/>
      <c r="AA36" s="27"/>
      <c r="AB36" s="27"/>
      <c r="AC36" s="27"/>
      <c r="AD36" s="27"/>
      <c r="AE36" s="27"/>
      <c r="AF36" s="27"/>
      <c r="AG36" s="13"/>
    </row>
    <row r="37" spans="1:33" x14ac:dyDescent="0.4">
      <c r="A37" s="10"/>
      <c r="B37" s="18" t="s">
        <v>59</v>
      </c>
      <c r="G37" s="12"/>
      <c r="H37" s="12"/>
      <c r="I37" s="12"/>
      <c r="J37" s="12"/>
      <c r="K37" s="12"/>
      <c r="L37" s="12"/>
      <c r="M37" s="12"/>
      <c r="N37" s="12"/>
      <c r="O37" s="14" t="s">
        <v>60</v>
      </c>
      <c r="Q37" s="14" t="s">
        <v>26</v>
      </c>
      <c r="R37" s="234">
        <v>546</v>
      </c>
      <c r="S37" s="235"/>
      <c r="T37" s="235"/>
      <c r="U37" s="235"/>
      <c r="V37" s="27"/>
      <c r="W37" s="27"/>
      <c r="X37" s="27"/>
      <c r="Y37" s="12"/>
      <c r="Z37" s="12"/>
      <c r="AA37" s="27"/>
      <c r="AB37" s="27"/>
      <c r="AC37" s="27"/>
      <c r="AD37" s="27"/>
      <c r="AE37" s="27"/>
      <c r="AF37" s="27"/>
      <c r="AG37" s="13"/>
    </row>
    <row r="38" spans="1:33" x14ac:dyDescent="0.4">
      <c r="A38" s="10"/>
      <c r="B38" s="18" t="s">
        <v>61</v>
      </c>
      <c r="G38" s="46"/>
      <c r="H38" s="46"/>
      <c r="I38" s="46"/>
      <c r="J38" s="46"/>
      <c r="K38" s="46"/>
      <c r="L38" s="46"/>
      <c r="M38" s="46"/>
      <c r="N38" s="12"/>
      <c r="O38" s="47" t="s">
        <v>62</v>
      </c>
      <c r="P38" s="41"/>
      <c r="Q38" s="14" t="s">
        <v>26</v>
      </c>
      <c r="R38" s="236">
        <f>'Geometry Input'!X11</f>
        <v>9</v>
      </c>
      <c r="S38" s="237"/>
      <c r="T38" s="237"/>
      <c r="U38" s="237"/>
      <c r="V38" s="53"/>
      <c r="W38" s="53"/>
      <c r="X38" s="27"/>
      <c r="Y38" s="12"/>
      <c r="Z38" s="12"/>
      <c r="AA38" s="27"/>
      <c r="AB38" s="27"/>
      <c r="AC38" s="27"/>
      <c r="AD38" s="27"/>
      <c r="AE38" s="27"/>
      <c r="AF38" s="27"/>
      <c r="AG38" s="13"/>
    </row>
    <row r="39" spans="1:33" x14ac:dyDescent="0.4">
      <c r="A39" s="10"/>
      <c r="G39" s="46"/>
      <c r="H39" s="46"/>
      <c r="I39" s="46"/>
      <c r="J39" s="46"/>
      <c r="K39" s="46"/>
      <c r="L39" s="46"/>
      <c r="M39" s="46"/>
      <c r="N39" s="12"/>
      <c r="O39" s="54"/>
      <c r="P39" s="55"/>
      <c r="Q39" s="55"/>
      <c r="R39" s="49"/>
      <c r="S39" s="12"/>
      <c r="T39" s="27"/>
      <c r="U39" s="27"/>
      <c r="V39" s="27"/>
      <c r="W39" s="27"/>
      <c r="X39" s="27"/>
      <c r="Y39" s="12"/>
      <c r="Z39" s="12"/>
      <c r="AA39" s="27"/>
      <c r="AB39" s="27"/>
      <c r="AC39" s="27"/>
      <c r="AD39" s="27"/>
      <c r="AE39" s="27"/>
      <c r="AF39" s="27"/>
      <c r="AG39" s="13"/>
    </row>
    <row r="40" spans="1:33" x14ac:dyDescent="0.4">
      <c r="A40" s="10"/>
      <c r="B40" s="18" t="s">
        <v>63</v>
      </c>
      <c r="G40" s="12"/>
      <c r="H40" s="12"/>
      <c r="I40" s="12"/>
      <c r="J40" s="12"/>
      <c r="K40" s="12"/>
      <c r="L40" s="12"/>
      <c r="M40" s="12"/>
      <c r="N40" s="12"/>
      <c r="O40" s="14" t="s">
        <v>64</v>
      </c>
      <c r="Q40" s="14" t="s">
        <v>26</v>
      </c>
      <c r="R40" s="238">
        <f>SQRT((R37*TAN(R38*PI()/180))^2+R37^2)/2</f>
        <v>276.40297934012477</v>
      </c>
      <c r="S40" s="239"/>
      <c r="T40" s="239"/>
      <c r="U40" s="239"/>
      <c r="AG40" s="13"/>
    </row>
    <row r="41" spans="1:33" x14ac:dyDescent="0.4">
      <c r="A41" s="10"/>
      <c r="AG41" s="13"/>
    </row>
    <row r="42" spans="1:33" x14ac:dyDescent="0.4">
      <c r="A42" s="10"/>
      <c r="AG42" s="13"/>
    </row>
    <row r="43" spans="1:33" x14ac:dyDescent="0.4">
      <c r="A43" s="56"/>
      <c r="B43" s="57"/>
      <c r="C43" s="58"/>
      <c r="D43" s="59"/>
      <c r="E43" s="59"/>
      <c r="F43" s="59"/>
      <c r="G43" s="59"/>
      <c r="H43" s="59"/>
      <c r="I43" s="60"/>
      <c r="J43" s="59"/>
      <c r="K43" s="59"/>
      <c r="L43" s="59"/>
      <c r="M43" s="59"/>
      <c r="N43" s="59"/>
      <c r="O43" s="59"/>
      <c r="P43" s="59"/>
      <c r="Q43" s="59"/>
      <c r="R43" s="57"/>
      <c r="S43" s="57"/>
      <c r="T43" s="57"/>
      <c r="U43" s="57"/>
      <c r="V43" s="57"/>
      <c r="W43" s="60"/>
      <c r="X43" s="60"/>
      <c r="Y43" s="60"/>
      <c r="Z43" s="60"/>
      <c r="AA43" s="60"/>
      <c r="AB43" s="60"/>
      <c r="AC43" s="60"/>
      <c r="AD43" s="60"/>
      <c r="AE43" s="60"/>
      <c r="AF43" s="60"/>
      <c r="AG43" s="61"/>
    </row>
  </sheetData>
  <mergeCells count="40">
    <mergeCell ref="W1:Y1"/>
    <mergeCell ref="Z1:AG1"/>
    <mergeCell ref="B4:E4"/>
    <mergeCell ref="G4:R4"/>
    <mergeCell ref="B1:E1"/>
    <mergeCell ref="G1:R1"/>
    <mergeCell ref="S1:U1"/>
    <mergeCell ref="AD2:AG2"/>
    <mergeCell ref="B3:E3"/>
    <mergeCell ref="G3:R3"/>
    <mergeCell ref="S3:U3"/>
    <mergeCell ref="W3:Y3"/>
    <mergeCell ref="Z3:AC3"/>
    <mergeCell ref="AD3:AG3"/>
    <mergeCell ref="B2:E2"/>
    <mergeCell ref="G2:R2"/>
    <mergeCell ref="S2:U2"/>
    <mergeCell ref="W2:Y2"/>
    <mergeCell ref="Z2:AC2"/>
    <mergeCell ref="S4:Y4"/>
    <mergeCell ref="Z4:AC4"/>
    <mergeCell ref="AD4:AG4"/>
    <mergeCell ref="K10:N10"/>
    <mergeCell ref="K12:N12"/>
    <mergeCell ref="K8:N8"/>
    <mergeCell ref="Z8:AC8"/>
    <mergeCell ref="W18:AD18"/>
    <mergeCell ref="F20:G21"/>
    <mergeCell ref="H20:H21"/>
    <mergeCell ref="I20:K20"/>
    <mergeCell ref="I21:K21"/>
    <mergeCell ref="R37:U37"/>
    <mergeCell ref="R38:U38"/>
    <mergeCell ref="R40:U40"/>
    <mergeCell ref="V26:AA26"/>
    <mergeCell ref="V27:AA27"/>
    <mergeCell ref="V28:AA28"/>
    <mergeCell ref="R31:U31"/>
    <mergeCell ref="R32:W32"/>
    <mergeCell ref="V35:AA35"/>
  </mergeCells>
  <printOptions horizontalCentered="1"/>
  <pageMargins left="0.70866141732283472" right="0.70866141732283472" top="0.74803149606299213" bottom="0.74803149606299213" header="0.31496062992125984" footer="0.31496062992125984"/>
  <pageSetup paperSize="9" scale="99" fitToHeight="0" orientation="portrait" useFirstPageNumber="1" r:id="rId1"/>
  <headerFooter>
    <oddHeader>&amp;L&amp;"Tahoma,Regular"&amp;8&amp;K03+000User: Srinivasa Rao Masanam</oddHeader>
    <oddFooter>&amp;C&amp;"Aparajita,Regular"&amp;11&amp;P of &amp;N&amp;R&amp;"Tahoma,Regular"&amp;8&amp;K03+000Licensed to: VSquare Consulting Engineers</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GeometryInput"/>
  <dimension ref="A1:CH118"/>
  <sheetViews>
    <sheetView showGridLines="0" tabSelected="1" zoomScaleNormal="100" workbookViewId="0"/>
  </sheetViews>
  <sheetFormatPr defaultColWidth="3.1640625" defaultRowHeight="12" customHeight="1" x14ac:dyDescent="0.15"/>
  <cols>
    <col min="1" max="1" width="2" style="62" customWidth="1"/>
    <col min="2" max="9" width="3.1640625" style="62"/>
    <col min="10" max="10" width="3.6640625" style="62" bestFit="1" customWidth="1"/>
    <col min="11" max="20" width="3.1640625" style="62"/>
    <col min="21" max="21" width="3.1640625" style="62" customWidth="1"/>
    <col min="22" max="23" width="3.1640625" style="62"/>
    <col min="24" max="24" width="3.1640625" style="62" customWidth="1"/>
    <col min="25" max="25" width="3.1640625" style="62"/>
    <col min="26" max="26" width="3.6640625" style="62" bestFit="1" customWidth="1"/>
    <col min="27" max="53" width="3.1640625" style="62"/>
    <col min="54" max="63" width="2.83203125" style="62" customWidth="1"/>
    <col min="64" max="16384" width="3.1640625" style="62"/>
  </cols>
  <sheetData>
    <row r="1" spans="1:59" ht="15" customHeight="1" x14ac:dyDescent="0.15">
      <c r="A1" s="64"/>
      <c r="B1" s="142" t="s">
        <v>0</v>
      </c>
      <c r="C1" s="142"/>
      <c r="D1" s="142"/>
      <c r="E1" s="142"/>
      <c r="F1" s="63" t="s">
        <v>1</v>
      </c>
      <c r="G1" s="333"/>
      <c r="H1" s="333"/>
      <c r="I1" s="333"/>
      <c r="J1" s="333"/>
      <c r="K1" s="333"/>
      <c r="L1" s="333"/>
      <c r="M1" s="333"/>
      <c r="N1" s="333"/>
      <c r="O1" s="333"/>
      <c r="P1" s="333"/>
      <c r="Q1" s="333"/>
      <c r="R1" s="333"/>
      <c r="S1" s="333"/>
      <c r="T1" s="333"/>
      <c r="U1" s="333"/>
      <c r="V1" s="333"/>
      <c r="W1" s="333"/>
      <c r="X1" s="334"/>
      <c r="Y1" s="144" t="s">
        <v>3</v>
      </c>
      <c r="Z1" s="142"/>
      <c r="AA1" s="142"/>
      <c r="AB1" s="63" t="s">
        <v>1</v>
      </c>
      <c r="AC1" s="335" t="s">
        <v>4</v>
      </c>
      <c r="AD1" s="335"/>
      <c r="AE1" s="336"/>
      <c r="AF1" s="147" t="s">
        <v>5</v>
      </c>
      <c r="AG1" s="147"/>
      <c r="AH1" s="147"/>
      <c r="AI1" s="147"/>
      <c r="AJ1" s="147"/>
      <c r="AK1" s="147"/>
      <c r="AL1" s="147"/>
      <c r="AM1" s="147"/>
    </row>
    <row r="2" spans="1:59" ht="15" customHeight="1" x14ac:dyDescent="0.15">
      <c r="A2" s="64"/>
      <c r="B2" s="142" t="s">
        <v>6</v>
      </c>
      <c r="C2" s="142"/>
      <c r="D2" s="142"/>
      <c r="E2" s="142"/>
      <c r="F2" s="63" t="s">
        <v>1</v>
      </c>
      <c r="G2" s="341" t="s">
        <v>136</v>
      </c>
      <c r="H2" s="333"/>
      <c r="I2" s="333"/>
      <c r="J2" s="333"/>
      <c r="K2" s="333"/>
      <c r="L2" s="333"/>
      <c r="M2" s="333"/>
      <c r="N2" s="333"/>
      <c r="O2" s="333"/>
      <c r="P2" s="333"/>
      <c r="Q2" s="333"/>
      <c r="R2" s="333"/>
      <c r="S2" s="333"/>
      <c r="T2" s="333"/>
      <c r="U2" s="333"/>
      <c r="V2" s="333"/>
      <c r="W2" s="333"/>
      <c r="X2" s="334"/>
      <c r="Y2" s="144" t="s">
        <v>8</v>
      </c>
      <c r="Z2" s="142"/>
      <c r="AA2" s="142"/>
      <c r="AB2" s="63" t="s">
        <v>1</v>
      </c>
      <c r="AC2" s="335" t="s">
        <v>4</v>
      </c>
      <c r="AD2" s="335"/>
      <c r="AE2" s="336"/>
      <c r="AF2" s="147" t="s">
        <v>10</v>
      </c>
      <c r="AG2" s="147"/>
      <c r="AH2" s="147"/>
      <c r="AI2" s="147"/>
      <c r="AJ2" s="147" t="s">
        <v>11</v>
      </c>
      <c r="AK2" s="147"/>
      <c r="AL2" s="147"/>
      <c r="AM2" s="147"/>
    </row>
    <row r="3" spans="1:59" ht="15" customHeight="1" x14ac:dyDescent="0.15">
      <c r="A3" s="64"/>
      <c r="B3" s="142" t="s">
        <v>12</v>
      </c>
      <c r="C3" s="142"/>
      <c r="D3" s="142"/>
      <c r="E3" s="142"/>
      <c r="F3" s="63" t="s">
        <v>1</v>
      </c>
      <c r="G3" s="333"/>
      <c r="H3" s="333"/>
      <c r="I3" s="333"/>
      <c r="J3" s="333"/>
      <c r="K3" s="333"/>
      <c r="L3" s="333"/>
      <c r="M3" s="333"/>
      <c r="N3" s="333"/>
      <c r="O3" s="333"/>
      <c r="P3" s="333"/>
      <c r="Q3" s="333"/>
      <c r="R3" s="333"/>
      <c r="S3" s="333"/>
      <c r="T3" s="333"/>
      <c r="U3" s="333"/>
      <c r="V3" s="333"/>
      <c r="W3" s="333"/>
      <c r="X3" s="334"/>
      <c r="Y3" s="144" t="s">
        <v>14</v>
      </c>
      <c r="Z3" s="142"/>
      <c r="AA3" s="142"/>
      <c r="AB3" s="63" t="s">
        <v>1</v>
      </c>
      <c r="AC3" s="335" t="s">
        <v>4</v>
      </c>
      <c r="AD3" s="335"/>
      <c r="AE3" s="336"/>
      <c r="AF3" s="337" t="s">
        <v>16</v>
      </c>
      <c r="AG3" s="337"/>
      <c r="AH3" s="337"/>
      <c r="AI3" s="337"/>
      <c r="AJ3" s="337" t="s">
        <v>16</v>
      </c>
      <c r="AK3" s="337"/>
      <c r="AL3" s="337"/>
      <c r="AM3" s="337"/>
    </row>
    <row r="4" spans="1:59" ht="15" customHeight="1" x14ac:dyDescent="0.15">
      <c r="A4" s="64"/>
      <c r="B4" s="142" t="s">
        <v>17</v>
      </c>
      <c r="C4" s="142"/>
      <c r="D4" s="142"/>
      <c r="E4" s="142"/>
      <c r="F4" s="63" t="s">
        <v>1</v>
      </c>
      <c r="G4" s="338" t="s">
        <v>135</v>
      </c>
      <c r="H4" s="338"/>
      <c r="I4" s="338"/>
      <c r="J4" s="338"/>
      <c r="K4" s="338"/>
      <c r="L4" s="338"/>
      <c r="M4" s="338"/>
      <c r="N4" s="338"/>
      <c r="O4" s="338"/>
      <c r="P4" s="338"/>
      <c r="Q4" s="338"/>
      <c r="R4" s="338"/>
      <c r="S4" s="338"/>
      <c r="T4" s="338"/>
      <c r="U4" s="338"/>
      <c r="V4" s="338"/>
      <c r="W4" s="338"/>
      <c r="X4" s="339"/>
      <c r="Y4" s="340" t="str">
        <f>'Version History'!TemplateDocVersion</f>
        <v>Thickener Generator v1.8</v>
      </c>
      <c r="Z4" s="158"/>
      <c r="AA4" s="158"/>
      <c r="AB4" s="158"/>
      <c r="AC4" s="158"/>
      <c r="AD4" s="158"/>
      <c r="AE4" s="159"/>
      <c r="AF4" s="342">
        <v>43127</v>
      </c>
      <c r="AG4" s="342"/>
      <c r="AH4" s="342"/>
      <c r="AI4" s="342"/>
      <c r="AJ4" s="160">
        <f ca="1">TODAY()</f>
        <v>43672</v>
      </c>
      <c r="AK4" s="160"/>
      <c r="AL4" s="160"/>
      <c r="AM4" s="160"/>
    </row>
    <row r="5" spans="1:59" ht="12" customHeight="1" x14ac:dyDescent="0.15">
      <c r="A5" s="74"/>
      <c r="B5" s="75"/>
      <c r="C5" s="75"/>
      <c r="D5" s="75"/>
      <c r="E5" s="75"/>
      <c r="F5" s="75"/>
      <c r="G5" s="75"/>
      <c r="H5" s="75"/>
      <c r="I5" s="75"/>
      <c r="J5" s="75"/>
      <c r="K5" s="75"/>
      <c r="L5" s="75"/>
      <c r="M5" s="75"/>
      <c r="N5" s="75"/>
      <c r="O5" s="75"/>
      <c r="P5" s="75"/>
      <c r="Q5" s="75"/>
      <c r="R5" s="75"/>
      <c r="S5" s="75"/>
      <c r="T5" s="75"/>
      <c r="U5" s="75"/>
      <c r="V5" s="75"/>
      <c r="W5" s="75"/>
      <c r="X5" s="75"/>
      <c r="Y5" s="75"/>
      <c r="Z5" s="75"/>
      <c r="AA5" s="75"/>
      <c r="AB5" s="75"/>
      <c r="AC5" s="75"/>
      <c r="AD5" s="75"/>
      <c r="AE5" s="75"/>
      <c r="AF5" s="75"/>
      <c r="AG5" s="75"/>
      <c r="AH5" s="75"/>
      <c r="AI5" s="75"/>
      <c r="AJ5" s="75"/>
      <c r="AK5" s="75"/>
      <c r="AL5" s="75"/>
      <c r="AM5" s="76"/>
    </row>
    <row r="6" spans="1:59" ht="12" customHeight="1" x14ac:dyDescent="0.15">
      <c r="A6" s="66"/>
      <c r="AM6" s="67"/>
      <c r="AR6" s="78" t="s">
        <v>66</v>
      </c>
      <c r="AS6" s="78"/>
    </row>
    <row r="7" spans="1:59" ht="12" customHeight="1" x14ac:dyDescent="0.15">
      <c r="A7" s="66"/>
      <c r="B7" s="79" t="s">
        <v>91</v>
      </c>
      <c r="AM7" s="67"/>
      <c r="AR7" s="78" t="s">
        <v>67</v>
      </c>
      <c r="AS7" s="78"/>
      <c r="BB7" s="65"/>
    </row>
    <row r="8" spans="1:59" ht="12" customHeight="1" x14ac:dyDescent="0.15">
      <c r="A8" s="66"/>
      <c r="B8" s="83" t="s">
        <v>25</v>
      </c>
      <c r="C8" s="84" t="s">
        <v>1</v>
      </c>
      <c r="D8" s="326">
        <v>0</v>
      </c>
      <c r="E8" s="346"/>
      <c r="F8" s="346"/>
      <c r="G8" s="346"/>
      <c r="H8" s="347"/>
      <c r="I8" s="85" t="s">
        <v>87</v>
      </c>
      <c r="J8" s="84" t="s">
        <v>1</v>
      </c>
      <c r="K8" s="326">
        <v>0</v>
      </c>
      <c r="L8" s="285"/>
      <c r="M8" s="285"/>
      <c r="N8" s="285"/>
      <c r="O8" s="285"/>
      <c r="P8" s="85" t="s">
        <v>88</v>
      </c>
      <c r="Q8" s="84" t="s">
        <v>1</v>
      </c>
      <c r="R8" s="326">
        <v>0</v>
      </c>
      <c r="S8" s="346"/>
      <c r="T8" s="346"/>
      <c r="U8" s="346"/>
      <c r="V8" s="347"/>
      <c r="AM8" s="67"/>
      <c r="AR8" s="78" t="s">
        <v>68</v>
      </c>
      <c r="AS8" s="78"/>
    </row>
    <row r="9" spans="1:59" ht="12" customHeight="1" x14ac:dyDescent="0.15">
      <c r="A9" s="66"/>
      <c r="AM9" s="67"/>
      <c r="AR9" s="78" t="s">
        <v>28</v>
      </c>
      <c r="AS9" s="78" t="s">
        <v>89</v>
      </c>
    </row>
    <row r="10" spans="1:59" ht="12" customHeight="1" x14ac:dyDescent="0.15">
      <c r="A10" s="66"/>
      <c r="B10" s="77" t="s">
        <v>92</v>
      </c>
      <c r="AD10" s="77" t="s">
        <v>122</v>
      </c>
      <c r="AM10" s="67"/>
      <c r="AR10" s="78" t="s">
        <v>69</v>
      </c>
      <c r="AS10" s="78"/>
    </row>
    <row r="11" spans="1:59" ht="12" customHeight="1" x14ac:dyDescent="0.15">
      <c r="A11" s="66"/>
      <c r="B11" s="123" t="s">
        <v>93</v>
      </c>
      <c r="C11" s="87"/>
      <c r="D11" s="87"/>
      <c r="E11" s="87"/>
      <c r="F11" s="87"/>
      <c r="G11" s="87"/>
      <c r="H11" s="87"/>
      <c r="I11" s="87"/>
      <c r="J11" s="87"/>
      <c r="K11" s="87"/>
      <c r="L11" s="87"/>
      <c r="M11" s="87"/>
      <c r="N11" s="87"/>
      <c r="O11" s="87"/>
      <c r="P11" s="87"/>
      <c r="Q11" s="87"/>
      <c r="R11" s="87"/>
      <c r="S11" s="87"/>
      <c r="T11" s="87"/>
      <c r="U11" s="87"/>
      <c r="V11" s="87"/>
      <c r="W11" s="88" t="s">
        <v>1</v>
      </c>
      <c r="X11" s="278">
        <v>9</v>
      </c>
      <c r="Y11" s="279"/>
      <c r="Z11" s="279"/>
      <c r="AA11" s="279"/>
      <c r="AB11" s="280"/>
      <c r="AC11" s="79"/>
      <c r="AD11" s="90"/>
      <c r="AE11" s="91"/>
      <c r="AF11" s="91"/>
      <c r="AG11" s="91"/>
      <c r="AH11" s="91"/>
      <c r="AI11" s="91"/>
      <c r="AJ11" s="91"/>
      <c r="AK11" s="91"/>
      <c r="AL11" s="92"/>
      <c r="AM11" s="67"/>
      <c r="AR11" s="78" t="s">
        <v>70</v>
      </c>
      <c r="AS11" s="78"/>
    </row>
    <row r="12" spans="1:59" ht="12" customHeight="1" x14ac:dyDescent="0.15">
      <c r="A12" s="66"/>
      <c r="B12" s="123" t="s">
        <v>94</v>
      </c>
      <c r="C12" s="87"/>
      <c r="D12" s="87"/>
      <c r="E12" s="87"/>
      <c r="F12" s="87"/>
      <c r="G12" s="87"/>
      <c r="H12" s="87"/>
      <c r="I12" s="87"/>
      <c r="J12" s="87"/>
      <c r="K12" s="87"/>
      <c r="L12" s="87"/>
      <c r="M12" s="87"/>
      <c r="N12" s="87"/>
      <c r="O12" s="87"/>
      <c r="P12" s="87"/>
      <c r="Q12" s="87"/>
      <c r="R12" s="87"/>
      <c r="S12" s="87"/>
      <c r="T12" s="87"/>
      <c r="U12" s="87"/>
      <c r="V12" s="87"/>
      <c r="W12" s="88" t="s">
        <v>1</v>
      </c>
      <c r="X12" s="278">
        <v>45</v>
      </c>
      <c r="Y12" s="279"/>
      <c r="Z12" s="279"/>
      <c r="AA12" s="279"/>
      <c r="AB12" s="280"/>
      <c r="AC12" s="79"/>
      <c r="AD12" s="93"/>
      <c r="AL12" s="94"/>
      <c r="AM12" s="67"/>
      <c r="AR12" s="78" t="s">
        <v>71</v>
      </c>
      <c r="AS12" s="78"/>
    </row>
    <row r="13" spans="1:59" ht="12" customHeight="1" x14ac:dyDescent="0.15">
      <c r="A13" s="66"/>
      <c r="B13" s="123" t="s">
        <v>95</v>
      </c>
      <c r="C13" s="87"/>
      <c r="D13" s="87"/>
      <c r="E13" s="87"/>
      <c r="F13" s="87"/>
      <c r="G13" s="87"/>
      <c r="H13" s="87"/>
      <c r="I13" s="87"/>
      <c r="J13" s="87"/>
      <c r="K13" s="87"/>
      <c r="L13" s="87"/>
      <c r="M13" s="87"/>
      <c r="N13" s="87"/>
      <c r="O13" s="87"/>
      <c r="P13" s="87"/>
      <c r="Q13" s="87"/>
      <c r="R13" s="87"/>
      <c r="S13" s="87"/>
      <c r="T13" s="87"/>
      <c r="U13" s="87"/>
      <c r="V13" s="87"/>
      <c r="W13" s="88" t="s">
        <v>1</v>
      </c>
      <c r="X13" s="278">
        <v>7.5</v>
      </c>
      <c r="Y13" s="279"/>
      <c r="Z13" s="279"/>
      <c r="AA13" s="279"/>
      <c r="AB13" s="280"/>
      <c r="AC13" s="79"/>
      <c r="AD13" s="93"/>
      <c r="AL13" s="94"/>
      <c r="AM13" s="67"/>
      <c r="AR13" s="78" t="s">
        <v>72</v>
      </c>
      <c r="AS13" s="78"/>
    </row>
    <row r="14" spans="1:59" ht="12" customHeight="1" x14ac:dyDescent="0.15">
      <c r="A14" s="66"/>
      <c r="B14" s="89"/>
      <c r="AD14" s="93"/>
      <c r="AL14" s="94"/>
      <c r="AM14" s="67"/>
      <c r="AR14" s="78" t="s">
        <v>73</v>
      </c>
      <c r="AS14" s="78"/>
    </row>
    <row r="15" spans="1:59" ht="12" customHeight="1" x14ac:dyDescent="0.15">
      <c r="A15" s="66"/>
      <c r="B15" s="123" t="s">
        <v>96</v>
      </c>
      <c r="C15" s="87"/>
      <c r="D15" s="87"/>
      <c r="E15" s="87"/>
      <c r="F15" s="87"/>
      <c r="G15" s="87"/>
      <c r="H15" s="87"/>
      <c r="I15" s="87"/>
      <c r="J15" s="87"/>
      <c r="K15" s="87"/>
      <c r="L15" s="87"/>
      <c r="M15" s="87"/>
      <c r="N15" s="87"/>
      <c r="O15" s="87"/>
      <c r="P15" s="87"/>
      <c r="Q15" s="87"/>
      <c r="R15" s="87"/>
      <c r="S15" s="87"/>
      <c r="T15" s="87"/>
      <c r="U15" s="87"/>
      <c r="V15" s="87"/>
      <c r="W15" s="88" t="s">
        <v>1</v>
      </c>
      <c r="X15" s="351">
        <v>24</v>
      </c>
      <c r="Y15" s="352"/>
      <c r="Z15" s="352"/>
      <c r="AA15" s="352"/>
      <c r="AB15" s="353"/>
      <c r="AC15" s="79"/>
      <c r="AD15" s="93"/>
      <c r="AL15" s="94"/>
      <c r="AM15" s="67"/>
      <c r="AR15" s="78" t="s">
        <v>74</v>
      </c>
      <c r="AS15" s="78"/>
      <c r="BC15" s="98"/>
      <c r="BD15" s="98"/>
      <c r="BE15" s="98"/>
      <c r="BF15" s="98"/>
      <c r="BG15" s="98"/>
    </row>
    <row r="16" spans="1:59" ht="12" customHeight="1" x14ac:dyDescent="0.15">
      <c r="A16" s="66"/>
      <c r="B16" s="123" t="s">
        <v>97</v>
      </c>
      <c r="C16" s="87"/>
      <c r="D16" s="87"/>
      <c r="E16" s="87"/>
      <c r="F16" s="87"/>
      <c r="G16" s="87"/>
      <c r="H16" s="87"/>
      <c r="I16" s="87"/>
      <c r="J16" s="87"/>
      <c r="K16" s="87"/>
      <c r="L16" s="87"/>
      <c r="M16" s="87"/>
      <c r="N16" s="87"/>
      <c r="O16" s="87"/>
      <c r="P16" s="87"/>
      <c r="Q16" s="87"/>
      <c r="R16" s="87"/>
      <c r="S16" s="87"/>
      <c r="T16" s="87"/>
      <c r="U16" s="87"/>
      <c r="V16" s="87"/>
      <c r="W16" s="88" t="s">
        <v>1</v>
      </c>
      <c r="X16" s="351">
        <v>5</v>
      </c>
      <c r="Y16" s="352"/>
      <c r="Z16" s="352"/>
      <c r="AA16" s="352"/>
      <c r="AB16" s="353"/>
      <c r="AC16" s="79"/>
      <c r="AD16" s="93"/>
      <c r="AL16" s="94"/>
      <c r="AM16" s="67"/>
      <c r="AR16" s="78" t="s">
        <v>75</v>
      </c>
      <c r="AS16" s="78"/>
    </row>
    <row r="17" spans="1:54" ht="12" customHeight="1" x14ac:dyDescent="0.15">
      <c r="A17" s="66"/>
      <c r="B17" s="123" t="s">
        <v>104</v>
      </c>
      <c r="C17" s="87"/>
      <c r="D17" s="87"/>
      <c r="E17" s="87"/>
      <c r="F17" s="87"/>
      <c r="G17" s="87"/>
      <c r="H17" s="87"/>
      <c r="I17" s="87"/>
      <c r="J17" s="87"/>
      <c r="K17" s="87"/>
      <c r="L17" s="87"/>
      <c r="M17" s="87"/>
      <c r="N17" s="87"/>
      <c r="O17" s="87"/>
      <c r="P17" s="87"/>
      <c r="Q17" s="87"/>
      <c r="R17" s="87"/>
      <c r="S17" s="87"/>
      <c r="T17" s="87"/>
      <c r="U17" s="87"/>
      <c r="V17" s="87"/>
      <c r="W17" s="88" t="s">
        <v>1</v>
      </c>
      <c r="X17" s="281">
        <v>1.8</v>
      </c>
      <c r="Y17" s="282"/>
      <c r="Z17" s="282"/>
      <c r="AA17" s="282"/>
      <c r="AB17" s="283"/>
      <c r="AC17" s="79"/>
      <c r="AD17" s="93"/>
      <c r="AL17" s="94"/>
      <c r="AM17" s="67"/>
      <c r="AR17" s="78" t="s">
        <v>76</v>
      </c>
      <c r="AS17" s="78"/>
    </row>
    <row r="18" spans="1:54" ht="12" customHeight="1" x14ac:dyDescent="0.15">
      <c r="A18" s="66"/>
      <c r="B18" s="123" t="s">
        <v>137</v>
      </c>
      <c r="C18" s="87"/>
      <c r="D18" s="87"/>
      <c r="E18" s="87"/>
      <c r="F18" s="87"/>
      <c r="G18" s="87"/>
      <c r="H18" s="87"/>
      <c r="I18" s="87"/>
      <c r="J18" s="87"/>
      <c r="K18" s="87"/>
      <c r="L18" s="87"/>
      <c r="M18" s="87"/>
      <c r="N18" s="87"/>
      <c r="O18" s="87"/>
      <c r="P18" s="87"/>
      <c r="Q18" s="87"/>
      <c r="R18" s="87"/>
      <c r="S18" s="87"/>
      <c r="T18" s="87"/>
      <c r="U18" s="87"/>
      <c r="V18" s="87"/>
      <c r="W18" s="88" t="s">
        <v>1</v>
      </c>
      <c r="X18" s="281">
        <v>1.6</v>
      </c>
      <c r="Y18" s="282"/>
      <c r="Z18" s="282"/>
      <c r="AA18" s="282"/>
      <c r="AB18" s="283"/>
      <c r="AC18" s="79"/>
      <c r="AD18" s="93"/>
      <c r="AL18" s="94"/>
      <c r="AM18" s="67"/>
      <c r="AR18" s="78" t="s">
        <v>77</v>
      </c>
      <c r="AS18" s="78"/>
    </row>
    <row r="19" spans="1:54" ht="12" customHeight="1" x14ac:dyDescent="0.15">
      <c r="A19" s="66"/>
      <c r="B19" s="123" t="s">
        <v>138</v>
      </c>
      <c r="C19" s="87"/>
      <c r="D19" s="87"/>
      <c r="E19" s="87"/>
      <c r="F19" s="87"/>
      <c r="G19" s="87"/>
      <c r="H19" s="87"/>
      <c r="I19" s="87"/>
      <c r="J19" s="87"/>
      <c r="K19" s="87"/>
      <c r="L19" s="87"/>
      <c r="M19" s="87"/>
      <c r="N19" s="87"/>
      <c r="O19" s="87"/>
      <c r="P19" s="87"/>
      <c r="Q19" s="87"/>
      <c r="R19" s="87"/>
      <c r="S19" s="87"/>
      <c r="T19" s="87"/>
      <c r="U19" s="87"/>
      <c r="V19" s="87"/>
      <c r="W19" s="88" t="s">
        <v>1</v>
      </c>
      <c r="X19" s="281">
        <v>11.03</v>
      </c>
      <c r="Y19" s="282"/>
      <c r="Z19" s="282"/>
      <c r="AA19" s="282"/>
      <c r="AB19" s="283"/>
      <c r="AC19" s="79"/>
      <c r="AD19" s="93"/>
      <c r="AL19" s="94"/>
      <c r="AM19" s="67"/>
      <c r="AR19" s="78"/>
      <c r="AS19" s="78"/>
    </row>
    <row r="20" spans="1:54" ht="12" customHeight="1" x14ac:dyDescent="0.15">
      <c r="A20" s="66"/>
      <c r="B20" s="123" t="s">
        <v>108</v>
      </c>
      <c r="C20" s="87"/>
      <c r="D20" s="87"/>
      <c r="E20" s="87"/>
      <c r="F20" s="87"/>
      <c r="G20" s="87"/>
      <c r="H20" s="87"/>
      <c r="I20" s="87"/>
      <c r="J20" s="87"/>
      <c r="K20" s="87"/>
      <c r="L20" s="87"/>
      <c r="M20" s="87"/>
      <c r="N20" s="87"/>
      <c r="O20" s="87"/>
      <c r="P20" s="87"/>
      <c r="Q20" s="87"/>
      <c r="R20" s="87"/>
      <c r="S20" s="87"/>
      <c r="T20" s="87"/>
      <c r="U20" s="87"/>
      <c r="V20" s="87"/>
      <c r="W20" s="88" t="s">
        <v>1</v>
      </c>
      <c r="X20" s="281">
        <v>0</v>
      </c>
      <c r="Y20" s="282"/>
      <c r="Z20" s="282"/>
      <c r="AA20" s="282"/>
      <c r="AB20" s="283"/>
      <c r="AC20" s="79"/>
      <c r="AD20" s="93"/>
      <c r="AL20" s="94"/>
      <c r="AM20" s="67"/>
      <c r="AR20" s="78" t="s">
        <v>78</v>
      </c>
      <c r="AS20" s="78"/>
    </row>
    <row r="21" spans="1:54" ht="12" customHeight="1" x14ac:dyDescent="0.15">
      <c r="A21" s="66"/>
      <c r="B21" s="123" t="s">
        <v>107</v>
      </c>
      <c r="C21" s="87"/>
      <c r="D21" s="87"/>
      <c r="E21" s="87"/>
      <c r="F21" s="87"/>
      <c r="G21" s="87"/>
      <c r="H21" s="87"/>
      <c r="I21" s="87"/>
      <c r="J21" s="87"/>
      <c r="K21" s="87"/>
      <c r="L21" s="87"/>
      <c r="M21" s="87"/>
      <c r="N21" s="87"/>
      <c r="O21" s="87"/>
      <c r="P21" s="87"/>
      <c r="Q21" s="87"/>
      <c r="R21" s="87"/>
      <c r="S21" s="87"/>
      <c r="T21" s="87"/>
      <c r="U21" s="87"/>
      <c r="V21" s="87"/>
      <c r="W21" s="88" t="s">
        <v>1</v>
      </c>
      <c r="X21" s="281">
        <v>2.1</v>
      </c>
      <c r="Y21" s="282"/>
      <c r="Z21" s="282"/>
      <c r="AA21" s="282"/>
      <c r="AB21" s="283"/>
      <c r="AC21" s="79"/>
      <c r="AD21" s="93"/>
      <c r="AL21" s="94"/>
      <c r="AM21" s="67"/>
      <c r="AR21" s="78" t="s">
        <v>79</v>
      </c>
      <c r="AS21" s="78"/>
    </row>
    <row r="22" spans="1:54" ht="12" customHeight="1" x14ac:dyDescent="0.15">
      <c r="A22" s="66"/>
      <c r="B22" s="123" t="s">
        <v>207</v>
      </c>
      <c r="C22" s="87"/>
      <c r="D22" s="87"/>
      <c r="E22" s="87"/>
      <c r="F22" s="87"/>
      <c r="G22" s="87"/>
      <c r="H22" s="87"/>
      <c r="I22" s="87"/>
      <c r="J22" s="87"/>
      <c r="K22" s="87"/>
      <c r="L22" s="87"/>
      <c r="M22" s="87"/>
      <c r="N22" s="87"/>
      <c r="O22" s="87"/>
      <c r="P22" s="87"/>
      <c r="Q22" s="87"/>
      <c r="R22" s="87"/>
      <c r="S22" s="87"/>
      <c r="T22" s="87"/>
      <c r="U22" s="87"/>
      <c r="V22" s="87"/>
      <c r="W22" s="88" t="s">
        <v>1</v>
      </c>
      <c r="X22" s="281">
        <v>2</v>
      </c>
      <c r="Y22" s="282"/>
      <c r="Z22" s="282"/>
      <c r="AA22" s="282"/>
      <c r="AB22" s="283"/>
      <c r="AC22" s="79"/>
      <c r="AD22" s="93"/>
      <c r="AL22" s="94"/>
      <c r="AM22" s="67"/>
      <c r="AR22" s="78"/>
      <c r="AS22" s="78"/>
    </row>
    <row r="23" spans="1:54" ht="12" customHeight="1" x14ac:dyDescent="0.15">
      <c r="A23" s="66"/>
      <c r="B23" s="123" t="s">
        <v>105</v>
      </c>
      <c r="C23" s="87"/>
      <c r="D23" s="87"/>
      <c r="E23" s="87"/>
      <c r="F23" s="87"/>
      <c r="G23" s="87"/>
      <c r="H23" s="87"/>
      <c r="I23" s="87"/>
      <c r="J23" s="87"/>
      <c r="K23" s="87"/>
      <c r="L23" s="87"/>
      <c r="M23" s="87"/>
      <c r="N23" s="87"/>
      <c r="O23" s="87"/>
      <c r="P23" s="87"/>
      <c r="Q23" s="87"/>
      <c r="R23" s="87"/>
      <c r="S23" s="87"/>
      <c r="T23" s="87"/>
      <c r="U23" s="87"/>
      <c r="V23" s="87"/>
      <c r="W23" s="88" t="s">
        <v>1</v>
      </c>
      <c r="X23" s="281">
        <v>0</v>
      </c>
      <c r="Y23" s="282"/>
      <c r="Z23" s="282"/>
      <c r="AA23" s="282"/>
      <c r="AB23" s="283"/>
      <c r="AC23" s="79"/>
      <c r="AD23" s="95"/>
      <c r="AE23" s="96"/>
      <c r="AF23" s="96"/>
      <c r="AG23" s="96"/>
      <c r="AH23" s="96"/>
      <c r="AI23" s="96"/>
      <c r="AJ23" s="96"/>
      <c r="AK23" s="96"/>
      <c r="AL23" s="97"/>
      <c r="AM23" s="67"/>
      <c r="AR23" s="78" t="s">
        <v>80</v>
      </c>
      <c r="AS23" s="78"/>
    </row>
    <row r="24" spans="1:54" ht="12" customHeight="1" x14ac:dyDescent="0.15">
      <c r="A24" s="66"/>
      <c r="B24" s="123" t="s">
        <v>106</v>
      </c>
      <c r="C24" s="87"/>
      <c r="D24" s="87"/>
      <c r="E24" s="87"/>
      <c r="F24" s="87"/>
      <c r="G24" s="87"/>
      <c r="H24" s="87"/>
      <c r="I24" s="87"/>
      <c r="J24" s="87"/>
      <c r="K24" s="87"/>
      <c r="L24" s="87"/>
      <c r="M24" s="87"/>
      <c r="N24" s="87"/>
      <c r="O24" s="87"/>
      <c r="P24" s="87"/>
      <c r="Q24" s="87"/>
      <c r="R24" s="87"/>
      <c r="S24" s="87"/>
      <c r="T24" s="87"/>
      <c r="U24" s="87"/>
      <c r="V24" s="87"/>
      <c r="W24" s="88" t="s">
        <v>1</v>
      </c>
      <c r="X24" s="281">
        <v>2.1</v>
      </c>
      <c r="Y24" s="282"/>
      <c r="Z24" s="282"/>
      <c r="AA24" s="282"/>
      <c r="AB24" s="283"/>
      <c r="AC24" s="79"/>
      <c r="AD24" s="91"/>
      <c r="AE24" s="91"/>
      <c r="AF24" s="91"/>
      <c r="AG24" s="91"/>
      <c r="AH24" s="91"/>
      <c r="AI24" s="91"/>
      <c r="AJ24" s="91"/>
      <c r="AK24" s="91"/>
      <c r="AL24" s="91"/>
      <c r="AM24" s="67"/>
      <c r="AR24" s="78" t="s">
        <v>81</v>
      </c>
      <c r="AS24" s="78"/>
    </row>
    <row r="25" spans="1:54" ht="12" customHeight="1" x14ac:dyDescent="0.15">
      <c r="A25" s="66"/>
      <c r="B25" s="123" t="s">
        <v>103</v>
      </c>
      <c r="C25" s="87"/>
      <c r="D25" s="87"/>
      <c r="E25" s="87"/>
      <c r="F25" s="87"/>
      <c r="G25" s="87"/>
      <c r="H25" s="87"/>
      <c r="I25" s="87"/>
      <c r="J25" s="87"/>
      <c r="K25" s="87"/>
      <c r="L25" s="87"/>
      <c r="M25" s="87"/>
      <c r="N25" s="87"/>
      <c r="O25" s="87"/>
      <c r="P25" s="87"/>
      <c r="Q25" s="87"/>
      <c r="R25" s="87"/>
      <c r="S25" s="87"/>
      <c r="T25" s="87"/>
      <c r="U25" s="87"/>
      <c r="V25" s="87"/>
      <c r="W25" s="88" t="s">
        <v>1</v>
      </c>
      <c r="X25" s="281">
        <v>4.0999999999999996</v>
      </c>
      <c r="Y25" s="282"/>
      <c r="Z25" s="282"/>
      <c r="AA25" s="282"/>
      <c r="AB25" s="283"/>
      <c r="AC25" s="79"/>
      <c r="AD25" s="128"/>
      <c r="AM25" s="67"/>
      <c r="AR25" s="78" t="s">
        <v>82</v>
      </c>
      <c r="AS25" s="78"/>
      <c r="BB25" s="65"/>
    </row>
    <row r="26" spans="1:54" ht="12" customHeight="1" x14ac:dyDescent="0.15">
      <c r="A26" s="66"/>
      <c r="B26" s="123" t="s">
        <v>112</v>
      </c>
      <c r="C26" s="87"/>
      <c r="D26" s="87"/>
      <c r="E26" s="87"/>
      <c r="F26" s="87"/>
      <c r="G26" s="87"/>
      <c r="H26" s="87"/>
      <c r="I26" s="87"/>
      <c r="J26" s="87"/>
      <c r="K26" s="87"/>
      <c r="L26" s="87"/>
      <c r="M26" s="87"/>
      <c r="N26" s="87"/>
      <c r="O26" s="87"/>
      <c r="P26" s="87"/>
      <c r="Q26" s="87"/>
      <c r="R26" s="87"/>
      <c r="S26" s="87"/>
      <c r="T26" s="87"/>
      <c r="U26" s="87"/>
      <c r="V26" s="87"/>
      <c r="W26" s="88" t="s">
        <v>1</v>
      </c>
      <c r="X26" s="309">
        <f>((dUF-dCC)/2)*TAN(RADIANS(Beta))</f>
        <v>1.1499999999999997</v>
      </c>
      <c r="Y26" s="310"/>
      <c r="Z26" s="310"/>
      <c r="AA26" s="310"/>
      <c r="AB26" s="311"/>
      <c r="AM26" s="67"/>
      <c r="AR26" s="78" t="s">
        <v>83</v>
      </c>
      <c r="AS26" s="78"/>
    </row>
    <row r="27" spans="1:54" ht="12" customHeight="1" x14ac:dyDescent="0.15">
      <c r="A27" s="66"/>
      <c r="B27" s="123" t="s">
        <v>113</v>
      </c>
      <c r="C27" s="87"/>
      <c r="D27" s="87"/>
      <c r="E27" s="87"/>
      <c r="F27" s="87"/>
      <c r="G27" s="87"/>
      <c r="H27" s="87"/>
      <c r="I27" s="87"/>
      <c r="J27" s="87"/>
      <c r="K27" s="87"/>
      <c r="L27" s="87"/>
      <c r="M27" s="87"/>
      <c r="N27" s="87"/>
      <c r="O27" s="87"/>
      <c r="P27" s="87"/>
      <c r="Q27" s="87"/>
      <c r="R27" s="87"/>
      <c r="S27" s="87"/>
      <c r="T27" s="87"/>
      <c r="U27" s="87"/>
      <c r="V27" s="87"/>
      <c r="W27" s="88" t="s">
        <v>1</v>
      </c>
      <c r="X27" s="312">
        <v>4.5</v>
      </c>
      <c r="Y27" s="313"/>
      <c r="Z27" s="313"/>
      <c r="AA27" s="313"/>
      <c r="AB27" s="314"/>
      <c r="AC27" s="79"/>
      <c r="AM27" s="67"/>
      <c r="AR27" s="78" t="s">
        <v>84</v>
      </c>
      <c r="AS27" s="78"/>
    </row>
    <row r="28" spans="1:54" ht="12" customHeight="1" x14ac:dyDescent="0.15">
      <c r="A28" s="66"/>
      <c r="B28" s="123" t="s">
        <v>114</v>
      </c>
      <c r="C28" s="87"/>
      <c r="D28" s="87"/>
      <c r="E28" s="87"/>
      <c r="F28" s="87"/>
      <c r="G28" s="87"/>
      <c r="H28" s="87"/>
      <c r="I28" s="87"/>
      <c r="J28" s="87"/>
      <c r="K28" s="87"/>
      <c r="L28" s="87"/>
      <c r="M28" s="87"/>
      <c r="N28" s="87"/>
      <c r="O28" s="87"/>
      <c r="P28" s="87"/>
      <c r="Q28" s="87"/>
      <c r="R28" s="87"/>
      <c r="S28" s="87"/>
      <c r="T28" s="87"/>
      <c r="U28" s="87"/>
      <c r="V28" s="87"/>
      <c r="W28" s="88" t="s">
        <v>1</v>
      </c>
      <c r="X28" s="309">
        <f>(X27-X25)/2</f>
        <v>0.20000000000000018</v>
      </c>
      <c r="Y28" s="310"/>
      <c r="Z28" s="310"/>
      <c r="AA28" s="310"/>
      <c r="AB28" s="311"/>
      <c r="AM28" s="67"/>
      <c r="AR28" s="78" t="s">
        <v>85</v>
      </c>
      <c r="AS28" s="78"/>
    </row>
    <row r="29" spans="1:54" ht="12" customHeight="1" x14ac:dyDescent="0.15">
      <c r="A29" s="66"/>
      <c r="B29" s="123" t="s">
        <v>115</v>
      </c>
      <c r="C29" s="87"/>
      <c r="D29" s="87"/>
      <c r="E29" s="87"/>
      <c r="F29" s="87"/>
      <c r="G29" s="87"/>
      <c r="H29" s="87"/>
      <c r="I29" s="87"/>
      <c r="J29" s="87"/>
      <c r="K29" s="87"/>
      <c r="L29" s="87"/>
      <c r="M29" s="87"/>
      <c r="N29" s="87"/>
      <c r="O29" s="87"/>
      <c r="P29" s="87"/>
      <c r="Q29" s="87"/>
      <c r="R29" s="87"/>
      <c r="S29" s="87"/>
      <c r="T29" s="87"/>
      <c r="U29" s="87"/>
      <c r="V29" s="87"/>
      <c r="W29" s="88" t="s">
        <v>1</v>
      </c>
      <c r="X29" s="281">
        <v>0.2</v>
      </c>
      <c r="Y29" s="321"/>
      <c r="Z29" s="321"/>
      <c r="AA29" s="321"/>
      <c r="AB29" s="322"/>
      <c r="AC29" s="79"/>
      <c r="AM29" s="67"/>
      <c r="AR29" s="78" t="s">
        <v>86</v>
      </c>
      <c r="AS29" s="78" t="s">
        <v>90</v>
      </c>
    </row>
    <row r="30" spans="1:54" ht="12" customHeight="1" x14ac:dyDescent="0.15">
      <c r="A30" s="66"/>
      <c r="B30" s="123" t="s">
        <v>109</v>
      </c>
      <c r="C30" s="87"/>
      <c r="D30" s="87"/>
      <c r="E30" s="87"/>
      <c r="F30" s="87"/>
      <c r="G30" s="87"/>
      <c r="H30" s="87"/>
      <c r="I30" s="87"/>
      <c r="J30" s="87"/>
      <c r="K30" s="87"/>
      <c r="L30" s="87"/>
      <c r="M30" s="87"/>
      <c r="N30" s="87"/>
      <c r="O30" s="87"/>
      <c r="P30" s="87"/>
      <c r="Q30" s="87"/>
      <c r="R30" s="87"/>
      <c r="S30" s="87"/>
      <c r="T30" s="87"/>
      <c r="U30" s="87"/>
      <c r="V30" s="87"/>
      <c r="W30" s="88" t="s">
        <v>1</v>
      </c>
      <c r="X30" s="281">
        <v>0</v>
      </c>
      <c r="Y30" s="321"/>
      <c r="Z30" s="321"/>
      <c r="AA30" s="321"/>
      <c r="AB30" s="322"/>
      <c r="AM30" s="67"/>
      <c r="AR30" s="78" t="s">
        <v>25</v>
      </c>
      <c r="AS30" s="78"/>
    </row>
    <row r="31" spans="1:54" ht="12" customHeight="1" x14ac:dyDescent="0.15">
      <c r="A31" s="66"/>
      <c r="B31" s="123" t="s">
        <v>110</v>
      </c>
      <c r="C31" s="87"/>
      <c r="D31" s="87"/>
      <c r="E31" s="87"/>
      <c r="F31" s="87"/>
      <c r="G31" s="87"/>
      <c r="H31" s="87"/>
      <c r="I31" s="87"/>
      <c r="J31" s="87"/>
      <c r="K31" s="87"/>
      <c r="L31" s="87"/>
      <c r="M31" s="87"/>
      <c r="N31" s="87"/>
      <c r="O31" s="87"/>
      <c r="P31" s="87"/>
      <c r="Q31" s="87"/>
      <c r="R31" s="87"/>
      <c r="S31" s="87"/>
      <c r="T31" s="87"/>
      <c r="U31" s="87"/>
      <c r="V31" s="87"/>
      <c r="W31" s="88" t="s">
        <v>1</v>
      </c>
      <c r="X31" s="309" t="str">
        <f>IF(hDroop&lt;&gt;0,'Droop Calcs'!V26/1000,"-")</f>
        <v>-</v>
      </c>
      <c r="Y31" s="310"/>
      <c r="Z31" s="310"/>
      <c r="AA31" s="310"/>
      <c r="AB31" s="311"/>
      <c r="AM31" s="67"/>
      <c r="AR31" s="78" t="s">
        <v>87</v>
      </c>
      <c r="AS31" s="78"/>
    </row>
    <row r="32" spans="1:54" ht="12" customHeight="1" x14ac:dyDescent="0.15">
      <c r="A32" s="66"/>
      <c r="B32" s="123" t="s">
        <v>123</v>
      </c>
      <c r="C32" s="87"/>
      <c r="D32" s="87"/>
      <c r="E32" s="87"/>
      <c r="F32" s="87"/>
      <c r="G32" s="87"/>
      <c r="H32" s="87"/>
      <c r="I32" s="87"/>
      <c r="J32" s="87"/>
      <c r="K32" s="87"/>
      <c r="L32" s="87"/>
      <c r="M32" s="87"/>
      <c r="N32" s="87"/>
      <c r="O32" s="87"/>
      <c r="P32" s="87"/>
      <c r="Q32" s="87"/>
      <c r="R32" s="87"/>
      <c r="S32" s="87"/>
      <c r="T32" s="87"/>
      <c r="U32" s="87"/>
      <c r="V32" s="87"/>
      <c r="W32" s="88" t="s">
        <v>1</v>
      </c>
      <c r="X32" s="309">
        <f>'Droop Calcs'!K10/1000</f>
        <v>2.9368393249511606</v>
      </c>
      <c r="Y32" s="310"/>
      <c r="Z32" s="310"/>
      <c r="AA32" s="310"/>
      <c r="AB32" s="311"/>
      <c r="AM32" s="67"/>
      <c r="AR32" s="78"/>
      <c r="AS32" s="78"/>
    </row>
    <row r="33" spans="1:86" ht="12" customHeight="1" x14ac:dyDescent="0.15">
      <c r="A33" s="66"/>
      <c r="B33" s="123" t="s">
        <v>120</v>
      </c>
      <c r="C33" s="87"/>
      <c r="D33" s="87"/>
      <c r="E33" s="87"/>
      <c r="F33" s="87"/>
      <c r="G33" s="87"/>
      <c r="H33" s="87"/>
      <c r="I33" s="87"/>
      <c r="J33" s="87"/>
      <c r="K33" s="87"/>
      <c r="L33" s="87"/>
      <c r="M33" s="87"/>
      <c r="N33" s="87"/>
      <c r="O33" s="87"/>
      <c r="P33" s="87"/>
      <c r="Q33" s="87"/>
      <c r="R33" s="87"/>
      <c r="S33" s="87"/>
      <c r="T33" s="87"/>
      <c r="U33" s="87"/>
      <c r="V33" s="87"/>
      <c r="W33" s="88" t="s">
        <v>1</v>
      </c>
      <c r="X33" s="315" t="str">
        <f>IF(hDroop&lt;&gt;0,'Droop Calcs'!V27,"-")</f>
        <v>-</v>
      </c>
      <c r="Y33" s="316"/>
      <c r="Z33" s="316"/>
      <c r="AA33" s="316"/>
      <c r="AB33" s="317"/>
      <c r="AM33" s="67"/>
      <c r="AR33" s="78" t="s">
        <v>88</v>
      </c>
      <c r="AS33" s="78"/>
    </row>
    <row r="34" spans="1:86" ht="12" customHeight="1" x14ac:dyDescent="0.15">
      <c r="A34" s="66"/>
      <c r="B34" s="123" t="s">
        <v>208</v>
      </c>
      <c r="C34" s="87"/>
      <c r="D34" s="87"/>
      <c r="E34" s="87"/>
      <c r="F34" s="87"/>
      <c r="G34" s="87"/>
      <c r="H34" s="87"/>
      <c r="I34" s="87"/>
      <c r="J34" s="87"/>
      <c r="K34" s="87"/>
      <c r="L34" s="87"/>
      <c r="M34" s="87"/>
      <c r="N34" s="87"/>
      <c r="O34" s="87"/>
      <c r="P34" s="87"/>
      <c r="Q34" s="87"/>
      <c r="R34" s="87"/>
      <c r="S34" s="87"/>
      <c r="T34" s="87"/>
      <c r="U34" s="87"/>
      <c r="V34" s="87"/>
      <c r="W34" s="88" t="s">
        <v>1</v>
      </c>
      <c r="X34" s="348">
        <v>24</v>
      </c>
      <c r="Y34" s="349"/>
      <c r="Z34" s="349"/>
      <c r="AA34" s="349"/>
      <c r="AB34" s="350"/>
      <c r="AM34" s="67"/>
      <c r="AR34" s="78"/>
      <c r="AS34" s="78"/>
    </row>
    <row r="35" spans="1:86" ht="12" customHeight="1" x14ac:dyDescent="0.15">
      <c r="A35" s="66"/>
      <c r="B35" s="89"/>
      <c r="AM35" s="67"/>
      <c r="AR35" s="78"/>
      <c r="AS35" s="78"/>
    </row>
    <row r="36" spans="1:86" ht="12" customHeight="1" x14ac:dyDescent="0.15">
      <c r="A36" s="66"/>
      <c r="B36" s="123" t="s">
        <v>111</v>
      </c>
      <c r="C36" s="87"/>
      <c r="D36" s="87"/>
      <c r="E36" s="87"/>
      <c r="F36" s="87"/>
      <c r="G36" s="87"/>
      <c r="H36" s="87"/>
      <c r="I36" s="87"/>
      <c r="J36" s="87"/>
      <c r="K36" s="87"/>
      <c r="L36" s="87"/>
      <c r="M36" s="87"/>
      <c r="N36" s="87"/>
      <c r="O36" s="87"/>
      <c r="P36" s="87"/>
      <c r="Q36" s="87"/>
      <c r="R36" s="87"/>
      <c r="S36" s="87"/>
      <c r="T36" s="87"/>
      <c r="U36" s="87"/>
      <c r="V36" s="87"/>
      <c r="W36" s="88" t="s">
        <v>1</v>
      </c>
      <c r="X36" s="323">
        <v>45</v>
      </c>
      <c r="Y36" s="324"/>
      <c r="Z36" s="324"/>
      <c r="AA36" s="324"/>
      <c r="AB36" s="325"/>
      <c r="AM36" s="67"/>
    </row>
    <row r="37" spans="1:86" ht="12" customHeight="1" x14ac:dyDescent="0.15">
      <c r="A37" s="66"/>
      <c r="B37" s="123" t="s">
        <v>116</v>
      </c>
      <c r="C37" s="87"/>
      <c r="D37" s="87"/>
      <c r="E37" s="87"/>
      <c r="F37" s="87"/>
      <c r="G37" s="87"/>
      <c r="H37" s="87"/>
      <c r="I37" s="87"/>
      <c r="J37" s="87"/>
      <c r="K37" s="87"/>
      <c r="L37" s="87"/>
      <c r="M37" s="87"/>
      <c r="N37" s="87"/>
      <c r="O37" s="87"/>
      <c r="P37" s="87"/>
      <c r="Q37" s="87"/>
      <c r="R37" s="87"/>
      <c r="S37" s="87"/>
      <c r="T37" s="87"/>
      <c r="U37" s="87"/>
      <c r="V37" s="87"/>
      <c r="W37" s="88" t="s">
        <v>1</v>
      </c>
      <c r="X37" s="281">
        <v>3.5</v>
      </c>
      <c r="Y37" s="282"/>
      <c r="Z37" s="282"/>
      <c r="AA37" s="282"/>
      <c r="AB37" s="283"/>
      <c r="AM37" s="67"/>
    </row>
    <row r="38" spans="1:86" ht="12" customHeight="1" x14ac:dyDescent="0.15">
      <c r="A38" s="66"/>
      <c r="B38" s="123" t="s">
        <v>117</v>
      </c>
      <c r="C38" s="87"/>
      <c r="D38" s="87"/>
      <c r="E38" s="87"/>
      <c r="F38" s="87"/>
      <c r="G38" s="87"/>
      <c r="H38" s="87"/>
      <c r="I38" s="87"/>
      <c r="J38" s="87"/>
      <c r="K38" s="87"/>
      <c r="L38" s="87"/>
      <c r="M38" s="87"/>
      <c r="N38" s="87"/>
      <c r="O38" s="87"/>
      <c r="P38" s="87"/>
      <c r="Q38" s="87"/>
      <c r="R38" s="87"/>
      <c r="S38" s="87"/>
      <c r="T38" s="87"/>
      <c r="U38" s="87"/>
      <c r="V38" s="87"/>
      <c r="W38" s="88" t="s">
        <v>1</v>
      </c>
      <c r="X38" s="281">
        <v>0.15</v>
      </c>
      <c r="Y38" s="282"/>
      <c r="Z38" s="282"/>
      <c r="AA38" s="282"/>
      <c r="AB38" s="283"/>
      <c r="AM38" s="67"/>
      <c r="AO38" s="79" t="s">
        <v>98</v>
      </c>
    </row>
    <row r="39" spans="1:86" ht="12" customHeight="1" x14ac:dyDescent="0.15">
      <c r="A39" s="66"/>
      <c r="B39" s="123" t="s">
        <v>118</v>
      </c>
      <c r="C39" s="87"/>
      <c r="D39" s="87"/>
      <c r="E39" s="87"/>
      <c r="F39" s="87"/>
      <c r="G39" s="87"/>
      <c r="H39" s="87"/>
      <c r="I39" s="87"/>
      <c r="J39" s="87"/>
      <c r="K39" s="87"/>
      <c r="L39" s="87"/>
      <c r="M39" s="87"/>
      <c r="N39" s="87"/>
      <c r="O39" s="87"/>
      <c r="P39" s="87"/>
      <c r="Q39" s="87"/>
      <c r="R39" s="87"/>
      <c r="S39" s="87"/>
      <c r="T39" s="87"/>
      <c r="U39" s="87"/>
      <c r="V39" s="87"/>
      <c r="W39" s="88" t="s">
        <v>1</v>
      </c>
      <c r="X39" s="281">
        <v>0.25</v>
      </c>
      <c r="Y39" s="282"/>
      <c r="Z39" s="282"/>
      <c r="AA39" s="282"/>
      <c r="AB39" s="283"/>
      <c r="AM39" s="67"/>
      <c r="AO39" s="86" t="s">
        <v>99</v>
      </c>
      <c r="AP39" s="79" t="s">
        <v>100</v>
      </c>
    </row>
    <row r="40" spans="1:86" ht="12" customHeight="1" x14ac:dyDescent="0.15">
      <c r="A40" s="66"/>
      <c r="B40" s="123" t="s">
        <v>119</v>
      </c>
      <c r="C40" s="87"/>
      <c r="D40" s="87"/>
      <c r="E40" s="87"/>
      <c r="F40" s="87"/>
      <c r="G40" s="87"/>
      <c r="H40" s="87"/>
      <c r="I40" s="87"/>
      <c r="J40" s="87"/>
      <c r="K40" s="87"/>
      <c r="L40" s="87"/>
      <c r="M40" s="87"/>
      <c r="N40" s="87"/>
      <c r="O40" s="87"/>
      <c r="P40" s="87"/>
      <c r="Q40" s="87"/>
      <c r="R40" s="87"/>
      <c r="S40" s="87"/>
      <c r="T40" s="87"/>
      <c r="U40" s="87"/>
      <c r="V40" s="87"/>
      <c r="W40" s="88" t="s">
        <v>1</v>
      </c>
      <c r="X40" s="281">
        <v>0.4</v>
      </c>
      <c r="Y40" s="282"/>
      <c r="Z40" s="282"/>
      <c r="AA40" s="282"/>
      <c r="AB40" s="283"/>
      <c r="AM40" s="67"/>
      <c r="AO40" s="86" t="s">
        <v>101</v>
      </c>
      <c r="AP40" s="79" t="s">
        <v>102</v>
      </c>
    </row>
    <row r="41" spans="1:86" ht="12" customHeight="1" x14ac:dyDescent="0.15">
      <c r="A41" s="66"/>
      <c r="B41" s="123" t="s">
        <v>121</v>
      </c>
      <c r="C41" s="87"/>
      <c r="D41" s="87"/>
      <c r="E41" s="87"/>
      <c r="F41" s="87"/>
      <c r="G41" s="87"/>
      <c r="H41" s="87"/>
      <c r="I41" s="87"/>
      <c r="J41" s="87"/>
      <c r="K41" s="87"/>
      <c r="L41" s="87"/>
      <c r="M41" s="87"/>
      <c r="N41" s="87"/>
      <c r="O41" s="87"/>
      <c r="P41" s="87"/>
      <c r="Q41" s="87"/>
      <c r="R41" s="87"/>
      <c r="S41" s="87"/>
      <c r="T41" s="87"/>
      <c r="U41" s="87"/>
      <c r="V41" s="87"/>
      <c r="W41" s="88" t="s">
        <v>1</v>
      </c>
      <c r="X41" s="318">
        <f>360/nRB</f>
        <v>15</v>
      </c>
      <c r="Y41" s="319"/>
      <c r="Z41" s="319"/>
      <c r="AA41" s="319"/>
      <c r="AB41" s="320"/>
      <c r="AM41" s="67"/>
      <c r="AO41" s="68"/>
      <c r="AP41" s="80"/>
      <c r="AQ41" s="80"/>
      <c r="AR41" s="80"/>
      <c r="AS41" s="68"/>
      <c r="AT41" s="69"/>
      <c r="AU41" s="81"/>
      <c r="AV41" s="81"/>
      <c r="AW41" s="81"/>
      <c r="AX41" s="81"/>
      <c r="AY41" s="81"/>
      <c r="AZ41" s="81"/>
      <c r="BA41" s="81"/>
      <c r="BB41" s="81"/>
      <c r="BC41" s="81"/>
    </row>
    <row r="42" spans="1:86" ht="12" customHeight="1" x14ac:dyDescent="0.15">
      <c r="A42" s="66"/>
      <c r="AM42" s="67"/>
      <c r="AO42" s="101"/>
      <c r="AP42" s="80"/>
      <c r="AQ42" s="80"/>
      <c r="AS42" s="68"/>
      <c r="AT42" s="69"/>
      <c r="AU42" s="81"/>
      <c r="AV42" s="81"/>
      <c r="AW42" s="81"/>
      <c r="AX42" s="81"/>
      <c r="AY42" s="81"/>
      <c r="AZ42" s="81"/>
      <c r="BA42" s="81"/>
      <c r="BB42" s="81"/>
      <c r="BC42" s="81"/>
      <c r="BN42" s="79"/>
    </row>
    <row r="43" spans="1:86" ht="12" customHeight="1" x14ac:dyDescent="0.15">
      <c r="A43" s="66"/>
      <c r="B43" s="123" t="s">
        <v>124</v>
      </c>
      <c r="C43" s="87"/>
      <c r="D43" s="87"/>
      <c r="E43" s="87"/>
      <c r="F43" s="87"/>
      <c r="G43" s="87"/>
      <c r="H43" s="87"/>
      <c r="I43" s="87"/>
      <c r="J43" s="87"/>
      <c r="K43" s="87"/>
      <c r="L43" s="87"/>
      <c r="M43" s="87"/>
      <c r="N43" s="87"/>
      <c r="O43" s="87"/>
      <c r="P43" s="87"/>
      <c r="Q43" s="87"/>
      <c r="R43" s="87"/>
      <c r="S43" s="87"/>
      <c r="T43" s="87"/>
      <c r="U43" s="87"/>
      <c r="V43" s="87"/>
      <c r="W43" s="88" t="s">
        <v>1</v>
      </c>
      <c r="X43" s="306">
        <v>3</v>
      </c>
      <c r="Y43" s="307"/>
      <c r="Z43" s="307"/>
      <c r="AA43" s="307"/>
      <c r="AB43" s="308"/>
      <c r="AM43" s="67"/>
      <c r="AO43" s="86"/>
      <c r="AP43" s="79"/>
      <c r="AQ43" s="82"/>
      <c r="AS43" s="70"/>
      <c r="AT43" s="70"/>
      <c r="AU43" s="82"/>
      <c r="AV43" s="82"/>
      <c r="AW43" s="82"/>
      <c r="AX43" s="82"/>
      <c r="AY43" s="82"/>
      <c r="AZ43" s="82"/>
      <c r="BA43" s="82"/>
      <c r="BB43" s="82"/>
      <c r="BC43" s="82"/>
      <c r="BN43" s="79"/>
    </row>
    <row r="44" spans="1:86" ht="12" customHeight="1" x14ac:dyDescent="0.15">
      <c r="A44" s="66"/>
      <c r="B44" s="123" t="s">
        <v>125</v>
      </c>
      <c r="C44" s="87"/>
      <c r="D44" s="87"/>
      <c r="E44" s="87"/>
      <c r="F44" s="87"/>
      <c r="G44" s="87"/>
      <c r="H44" s="87"/>
      <c r="I44" s="87"/>
      <c r="J44" s="87"/>
      <c r="K44" s="87"/>
      <c r="L44" s="87"/>
      <c r="M44" s="87"/>
      <c r="N44" s="87"/>
      <c r="O44" s="87"/>
      <c r="P44" s="87"/>
      <c r="Q44" s="87"/>
      <c r="R44" s="87"/>
      <c r="S44" s="87"/>
      <c r="T44" s="87"/>
      <c r="U44" s="87"/>
      <c r="V44" s="87"/>
      <c r="W44" s="88" t="s">
        <v>1</v>
      </c>
      <c r="X44" s="303">
        <v>0.35</v>
      </c>
      <c r="Y44" s="304"/>
      <c r="Z44" s="304"/>
      <c r="AA44" s="304"/>
      <c r="AB44" s="305"/>
      <c r="AM44" s="67"/>
      <c r="AO44" s="86"/>
      <c r="AP44" s="79"/>
      <c r="AQ44" s="82"/>
      <c r="AS44" s="70"/>
      <c r="AT44" s="70"/>
      <c r="AU44" s="82"/>
      <c r="AV44" s="82"/>
      <c r="AW44" s="82"/>
      <c r="AX44" s="82"/>
      <c r="AY44" s="82"/>
      <c r="AZ44" s="82"/>
      <c r="BA44" s="82"/>
      <c r="BB44" s="82"/>
      <c r="BC44" s="82"/>
    </row>
    <row r="45" spans="1:86" ht="12" customHeight="1" x14ac:dyDescent="0.15">
      <c r="A45" s="66"/>
      <c r="AM45" s="67"/>
      <c r="AO45" s="116"/>
      <c r="AP45" s="117"/>
      <c r="AQ45" s="118"/>
      <c r="AR45" s="119"/>
      <c r="AS45" s="119"/>
      <c r="AT45" s="119"/>
      <c r="AU45" s="119"/>
      <c r="AV45" s="119"/>
      <c r="AW45" s="119"/>
      <c r="AX45" s="119"/>
      <c r="AY45" s="119"/>
      <c r="AZ45" s="119"/>
      <c r="BA45" s="119"/>
      <c r="BB45" s="119"/>
      <c r="BC45" s="119"/>
      <c r="BD45" s="119"/>
      <c r="BE45" s="119"/>
      <c r="BF45" s="119"/>
      <c r="BG45" s="119"/>
      <c r="BH45" s="119"/>
      <c r="BI45" s="119"/>
      <c r="BJ45" s="119"/>
      <c r="BK45" s="119"/>
      <c r="BL45" s="119"/>
      <c r="BM45" s="118"/>
      <c r="BN45" s="119"/>
      <c r="BO45" s="119"/>
      <c r="BP45" s="119"/>
      <c r="BQ45" s="119"/>
      <c r="BR45" s="119"/>
      <c r="BS45" s="119"/>
      <c r="BT45" s="119"/>
      <c r="BU45" s="119"/>
      <c r="BV45" s="119"/>
      <c r="BW45" s="119"/>
      <c r="BX45" s="119"/>
      <c r="BY45" s="119"/>
      <c r="BZ45" s="119"/>
      <c r="CA45" s="119"/>
      <c r="CB45" s="119"/>
      <c r="CC45" s="119"/>
      <c r="CD45" s="119"/>
      <c r="CE45" s="119"/>
      <c r="CF45" s="119"/>
      <c r="CG45" s="119"/>
      <c r="CH45" s="119"/>
    </row>
    <row r="46" spans="1:86" ht="12" customHeight="1" x14ac:dyDescent="0.15">
      <c r="A46" s="66"/>
      <c r="B46" s="65" t="s">
        <v>126</v>
      </c>
      <c r="G46" s="345" t="s">
        <v>212</v>
      </c>
      <c r="H46" s="288"/>
      <c r="I46" s="288"/>
      <c r="J46" s="288"/>
      <c r="K46" s="288"/>
      <c r="L46" s="289"/>
      <c r="AM46" s="67"/>
      <c r="AO46" s="114"/>
      <c r="AP46" s="114"/>
      <c r="AQ46" s="119"/>
      <c r="AR46" s="119"/>
      <c r="AS46" s="119"/>
      <c r="AT46" s="119"/>
      <c r="AU46" s="119"/>
      <c r="AV46" s="119"/>
      <c r="AW46" s="119"/>
      <c r="AX46" s="119"/>
      <c r="AY46" s="119"/>
      <c r="AZ46" s="119"/>
      <c r="BA46" s="119"/>
      <c r="BB46" s="119"/>
      <c r="BC46" s="119"/>
      <c r="BD46" s="119"/>
      <c r="BE46" s="119"/>
      <c r="BF46" s="119"/>
      <c r="BG46" s="119"/>
      <c r="BH46" s="119"/>
      <c r="BI46" s="119"/>
      <c r="BJ46" s="119"/>
      <c r="BK46" s="119"/>
      <c r="BL46" s="119"/>
      <c r="BM46" s="119"/>
      <c r="BN46" s="119"/>
      <c r="BO46" s="119"/>
      <c r="BP46" s="119"/>
      <c r="BQ46" s="119"/>
      <c r="BR46" s="119"/>
      <c r="BS46" s="119"/>
      <c r="BT46" s="119"/>
      <c r="BU46" s="119"/>
      <c r="BV46" s="119"/>
      <c r="BW46" s="119"/>
      <c r="BX46" s="119"/>
      <c r="BY46" s="119"/>
      <c r="BZ46" s="119"/>
      <c r="CA46" s="119"/>
      <c r="CB46" s="119"/>
      <c r="CC46" s="119"/>
      <c r="CD46" s="119"/>
      <c r="CE46" s="119"/>
      <c r="CF46" s="119"/>
      <c r="CG46" s="119"/>
      <c r="CH46" s="119"/>
    </row>
    <row r="47" spans="1:86" ht="12" customHeight="1" x14ac:dyDescent="0.15">
      <c r="A47" s="66"/>
      <c r="AM47" s="67"/>
      <c r="AO47" s="116"/>
      <c r="AP47" s="117"/>
      <c r="AQ47" s="118"/>
      <c r="AR47" s="119"/>
      <c r="AS47" s="119"/>
      <c r="AT47" s="122" t="s">
        <v>163</v>
      </c>
      <c r="AU47" s="119"/>
      <c r="AV47" s="119"/>
      <c r="AW47" s="119"/>
      <c r="AX47" s="119"/>
      <c r="AY47" s="119"/>
      <c r="AZ47" s="119"/>
      <c r="BA47" s="119"/>
      <c r="BB47" s="119"/>
      <c r="BC47" s="119"/>
      <c r="BD47" s="119"/>
      <c r="BE47" s="119"/>
      <c r="BF47" s="119"/>
      <c r="BG47" s="119"/>
      <c r="BH47" s="119"/>
      <c r="BI47" s="119"/>
      <c r="BJ47" s="119"/>
      <c r="BK47" s="119"/>
      <c r="BL47" s="119"/>
      <c r="BM47" s="118"/>
      <c r="BN47" s="119"/>
      <c r="BO47" s="119"/>
      <c r="BP47" s="119"/>
      <c r="BQ47" s="119"/>
      <c r="BR47" s="119"/>
      <c r="BS47" s="119"/>
      <c r="BT47" s="119"/>
      <c r="BU47" s="119"/>
      <c r="BV47" s="119"/>
      <c r="BW47" s="119"/>
      <c r="BX47" s="119"/>
      <c r="BY47" s="119"/>
      <c r="BZ47" s="119"/>
      <c r="CA47" s="119"/>
      <c r="CB47" s="119"/>
      <c r="CC47" s="119"/>
      <c r="CD47" s="119"/>
      <c r="CE47" s="119"/>
      <c r="CF47" s="119"/>
      <c r="CG47" s="119"/>
      <c r="CH47" s="119"/>
    </row>
    <row r="48" spans="1:86" ht="12" customHeight="1" x14ac:dyDescent="0.15">
      <c r="A48" s="66"/>
      <c r="B48" s="293" t="s">
        <v>127</v>
      </c>
      <c r="C48" s="294"/>
      <c r="D48" s="361" t="s">
        <v>128</v>
      </c>
      <c r="E48" s="362"/>
      <c r="F48" s="362"/>
      <c r="G48" s="362"/>
      <c r="H48" s="362"/>
      <c r="I48" s="362"/>
      <c r="J48" s="293" t="s">
        <v>129</v>
      </c>
      <c r="K48" s="294"/>
      <c r="L48" s="294"/>
      <c r="M48" s="363" t="s">
        <v>130</v>
      </c>
      <c r="N48" s="364"/>
      <c r="O48" s="364"/>
      <c r="P48" s="364"/>
      <c r="Q48" s="364"/>
      <c r="R48" s="364"/>
      <c r="S48" s="365"/>
      <c r="T48" s="293" t="s">
        <v>131</v>
      </c>
      <c r="U48" s="294"/>
      <c r="V48" s="294"/>
      <c r="W48" s="294"/>
      <c r="X48" s="294"/>
      <c r="Y48" s="362" t="s">
        <v>160</v>
      </c>
      <c r="Z48" s="366"/>
      <c r="AA48" s="366"/>
      <c r="AB48" s="366"/>
      <c r="AC48" s="366"/>
      <c r="AD48" s="293" t="s">
        <v>132</v>
      </c>
      <c r="AE48" s="294"/>
      <c r="AF48" s="294"/>
      <c r="AG48" s="294"/>
      <c r="AH48" s="294"/>
      <c r="AI48" s="284" t="s">
        <v>160</v>
      </c>
      <c r="AJ48" s="285"/>
      <c r="AK48" s="285"/>
      <c r="AL48" s="286"/>
      <c r="AM48" s="127"/>
      <c r="AO48" s="293" t="s">
        <v>159</v>
      </c>
      <c r="AP48" s="294"/>
      <c r="AQ48" s="294"/>
      <c r="AR48" s="294"/>
      <c r="AT48" s="79" t="s">
        <v>164</v>
      </c>
      <c r="AY48" s="119"/>
      <c r="AZ48" s="119"/>
      <c r="BA48" s="119"/>
      <c r="BB48" s="119"/>
      <c r="BC48" s="114" t="s">
        <v>1</v>
      </c>
      <c r="BD48" s="297">
        <v>259</v>
      </c>
      <c r="BE48" s="298"/>
      <c r="BF48" s="298"/>
      <c r="BG48" s="298"/>
      <c r="BH48" s="299"/>
      <c r="BI48" s="119"/>
      <c r="BJ48" s="119"/>
      <c r="BK48" s="119"/>
      <c r="BL48" s="119"/>
      <c r="BM48" s="119"/>
      <c r="BN48" s="119"/>
      <c r="BO48" s="119"/>
      <c r="BP48" s="119"/>
      <c r="BQ48" s="119"/>
      <c r="BR48" s="119"/>
      <c r="BS48" s="119"/>
      <c r="BT48" s="119"/>
      <c r="BU48" s="119"/>
      <c r="BV48" s="119"/>
      <c r="BW48" s="119"/>
      <c r="BX48" s="119"/>
      <c r="BY48" s="119"/>
      <c r="BZ48" s="119"/>
      <c r="CA48" s="119"/>
      <c r="CB48" s="119"/>
      <c r="CC48" s="119"/>
      <c r="CD48" s="119"/>
      <c r="CE48" s="119"/>
      <c r="CF48" s="119"/>
      <c r="CG48" s="119"/>
      <c r="CH48" s="119"/>
    </row>
    <row r="49" spans="1:72" ht="12" customHeight="1" x14ac:dyDescent="0.15">
      <c r="A49" s="66"/>
      <c r="B49" s="354">
        <f>IF(AND(D49&lt;&gt;"",J49&lt;&gt;"",M49&lt;&gt;"",T49&lt;&gt;"",Y49&lt;&gt;"",IF(D50="",TRUE,AND(AD49&lt;&gt;"",AI49&lt;&gt;""))),1,"")</f>
        <v>1</v>
      </c>
      <c r="C49" s="355"/>
      <c r="D49" s="356" t="s">
        <v>133</v>
      </c>
      <c r="E49" s="357"/>
      <c r="F49" s="357"/>
      <c r="G49" s="357"/>
      <c r="H49" s="357"/>
      <c r="I49" s="358"/>
      <c r="J49" s="330">
        <v>44</v>
      </c>
      <c r="K49" s="359"/>
      <c r="L49" s="360"/>
      <c r="M49" s="330">
        <v>0</v>
      </c>
      <c r="N49" s="331"/>
      <c r="O49" s="331"/>
      <c r="P49" s="331"/>
      <c r="Q49" s="331"/>
      <c r="R49" s="331"/>
      <c r="S49" s="332"/>
      <c r="T49" s="327" t="s">
        <v>168</v>
      </c>
      <c r="U49" s="328"/>
      <c r="V49" s="328"/>
      <c r="W49" s="328"/>
      <c r="X49" s="329"/>
      <c r="Y49" s="343" t="s">
        <v>161</v>
      </c>
      <c r="Z49" s="344"/>
      <c r="AA49" s="344"/>
      <c r="AB49" s="344"/>
      <c r="AC49" s="344"/>
      <c r="AD49" s="327" t="s">
        <v>211</v>
      </c>
      <c r="AE49" s="328"/>
      <c r="AF49" s="328"/>
      <c r="AG49" s="328"/>
      <c r="AH49" s="329"/>
      <c r="AI49" s="287" t="s">
        <v>161</v>
      </c>
      <c r="AJ49" s="288"/>
      <c r="AK49" s="288"/>
      <c r="AL49" s="289"/>
      <c r="AM49" s="127"/>
      <c r="AO49" s="295">
        <v>1</v>
      </c>
      <c r="AP49" s="296"/>
      <c r="AQ49" s="296"/>
      <c r="AR49" s="296"/>
      <c r="AT49" s="79" t="s">
        <v>165</v>
      </c>
      <c r="BC49" s="114" t="s">
        <v>1</v>
      </c>
      <c r="BD49" s="300">
        <f>(BD48/2)/COS(RADIANS(Alpha))</f>
        <v>131.11423378954638</v>
      </c>
      <c r="BE49" s="301"/>
      <c r="BF49" s="301"/>
      <c r="BG49" s="301"/>
      <c r="BH49" s="302"/>
    </row>
    <row r="50" spans="1:72" ht="12" customHeight="1" x14ac:dyDescent="0.15">
      <c r="A50" s="66"/>
      <c r="B50" s="354">
        <f>IF(AND(D50&lt;&gt;"",J50&lt;&gt;"",M50&lt;&gt;"",T50&lt;&gt;"",Y50&lt;&gt;"",IF(D51="",TRUE,AND(AD50&lt;&gt;"",AI50&lt;&gt;""))),B49+1,"")</f>
        <v>2</v>
      </c>
      <c r="C50" s="355"/>
      <c r="D50" s="356" t="s">
        <v>134</v>
      </c>
      <c r="E50" s="357"/>
      <c r="F50" s="357"/>
      <c r="G50" s="357"/>
      <c r="H50" s="357"/>
      <c r="I50" s="358"/>
      <c r="J50" s="330">
        <v>35.64</v>
      </c>
      <c r="K50" s="359"/>
      <c r="L50" s="360"/>
      <c r="M50" s="330">
        <v>0</v>
      </c>
      <c r="N50" s="331"/>
      <c r="O50" s="331"/>
      <c r="P50" s="331"/>
      <c r="Q50" s="331"/>
      <c r="R50" s="331"/>
      <c r="S50" s="332"/>
      <c r="T50" s="327" t="s">
        <v>211</v>
      </c>
      <c r="U50" s="328"/>
      <c r="V50" s="328"/>
      <c r="W50" s="328"/>
      <c r="X50" s="329"/>
      <c r="Y50" s="343" t="s">
        <v>162</v>
      </c>
      <c r="Z50" s="344"/>
      <c r="AA50" s="344"/>
      <c r="AB50" s="344"/>
      <c r="AC50" s="344"/>
      <c r="AD50" s="327" t="s">
        <v>168</v>
      </c>
      <c r="AE50" s="328"/>
      <c r="AF50" s="328"/>
      <c r="AG50" s="328"/>
      <c r="AH50" s="329"/>
      <c r="AI50" s="287" t="s">
        <v>162</v>
      </c>
      <c r="AJ50" s="288"/>
      <c r="AK50" s="288"/>
      <c r="AL50" s="289"/>
      <c r="AM50" s="127"/>
      <c r="AO50" s="295">
        <v>1</v>
      </c>
      <c r="AP50" s="296"/>
      <c r="AQ50" s="296"/>
      <c r="AR50" s="296"/>
    </row>
    <row r="51" spans="1:72" ht="12" customHeight="1" x14ac:dyDescent="0.15">
      <c r="A51" s="66"/>
      <c r="B51" s="354">
        <f t="shared" ref="B51:B58" si="0">IF(AND(D51&lt;&gt;"",J51&lt;&gt;"",M51&lt;&gt;"",T51&lt;&gt;"",Y51&lt;&gt;"",IF(D52="",TRUE,AND(AD51&lt;&gt;"",AI51&lt;&gt;""))),B50+1,"")</f>
        <v>3</v>
      </c>
      <c r="C51" s="355"/>
      <c r="D51" s="356" t="s">
        <v>169</v>
      </c>
      <c r="E51" s="357"/>
      <c r="F51" s="357"/>
      <c r="G51" s="357"/>
      <c r="H51" s="357"/>
      <c r="I51" s="358"/>
      <c r="J51" s="330">
        <v>27.28</v>
      </c>
      <c r="K51" s="359"/>
      <c r="L51" s="360"/>
      <c r="M51" s="330">
        <v>0</v>
      </c>
      <c r="N51" s="331"/>
      <c r="O51" s="331"/>
      <c r="P51" s="331"/>
      <c r="Q51" s="331"/>
      <c r="R51" s="331"/>
      <c r="S51" s="332"/>
      <c r="T51" s="327" t="s">
        <v>168</v>
      </c>
      <c r="U51" s="328"/>
      <c r="V51" s="328"/>
      <c r="W51" s="328"/>
      <c r="X51" s="329"/>
      <c r="Y51" s="343" t="s">
        <v>161</v>
      </c>
      <c r="Z51" s="344"/>
      <c r="AA51" s="344"/>
      <c r="AB51" s="344"/>
      <c r="AC51" s="344"/>
      <c r="AD51" s="327" t="s">
        <v>211</v>
      </c>
      <c r="AE51" s="328"/>
      <c r="AF51" s="328"/>
      <c r="AG51" s="328"/>
      <c r="AH51" s="329"/>
      <c r="AI51" s="287" t="s">
        <v>162</v>
      </c>
      <c r="AJ51" s="288"/>
      <c r="AK51" s="288"/>
      <c r="AL51" s="289"/>
      <c r="AM51" s="127"/>
      <c r="AO51" s="295">
        <v>1</v>
      </c>
      <c r="AP51" s="296"/>
      <c r="AQ51" s="296"/>
      <c r="AR51" s="296"/>
      <c r="AT51" s="132" t="s">
        <v>218</v>
      </c>
      <c r="AU51" s="130"/>
      <c r="AV51" s="130"/>
      <c r="AW51" s="130"/>
      <c r="AX51" s="130"/>
      <c r="AY51" s="130"/>
      <c r="AZ51" s="130"/>
      <c r="BA51" s="130"/>
      <c r="BB51" s="130"/>
      <c r="BC51" s="130"/>
      <c r="BD51" s="130"/>
      <c r="BE51" s="130"/>
      <c r="BF51" s="130"/>
      <c r="BG51" s="130"/>
      <c r="BH51" s="130"/>
      <c r="BI51" s="130"/>
      <c r="BJ51" s="130"/>
      <c r="BK51" s="130"/>
      <c r="BL51" s="130"/>
      <c r="BM51" s="130"/>
      <c r="BN51" s="130"/>
      <c r="BO51" s="131" t="s">
        <v>1</v>
      </c>
      <c r="BP51" s="278">
        <v>50</v>
      </c>
      <c r="BQ51" s="279"/>
      <c r="BR51" s="279"/>
      <c r="BS51" s="279"/>
      <c r="BT51" s="280"/>
    </row>
    <row r="52" spans="1:72" ht="12" customHeight="1" x14ac:dyDescent="0.15">
      <c r="A52" s="66"/>
      <c r="B52" s="354">
        <f t="shared" si="0"/>
        <v>4</v>
      </c>
      <c r="C52" s="355"/>
      <c r="D52" s="356" t="s">
        <v>213</v>
      </c>
      <c r="E52" s="357"/>
      <c r="F52" s="357"/>
      <c r="G52" s="357"/>
      <c r="H52" s="357"/>
      <c r="I52" s="358"/>
      <c r="J52" s="330">
        <v>18.920000000000002</v>
      </c>
      <c r="K52" s="359"/>
      <c r="L52" s="360"/>
      <c r="M52" s="330">
        <v>0</v>
      </c>
      <c r="N52" s="331"/>
      <c r="O52" s="331"/>
      <c r="P52" s="331"/>
      <c r="Q52" s="331"/>
      <c r="R52" s="331"/>
      <c r="S52" s="332"/>
      <c r="T52" s="327" t="s">
        <v>211</v>
      </c>
      <c r="U52" s="328"/>
      <c r="V52" s="328"/>
      <c r="W52" s="328"/>
      <c r="X52" s="329"/>
      <c r="Y52" s="343" t="s">
        <v>162</v>
      </c>
      <c r="Z52" s="344"/>
      <c r="AA52" s="344"/>
      <c r="AB52" s="344"/>
      <c r="AC52" s="344"/>
      <c r="AD52" s="327" t="s">
        <v>211</v>
      </c>
      <c r="AE52" s="328"/>
      <c r="AF52" s="328"/>
      <c r="AG52" s="328"/>
      <c r="AH52" s="329"/>
      <c r="AI52" s="287" t="s">
        <v>162</v>
      </c>
      <c r="AJ52" s="288"/>
      <c r="AK52" s="288"/>
      <c r="AL52" s="289"/>
      <c r="AM52" s="127"/>
      <c r="AO52" s="295">
        <v>1</v>
      </c>
      <c r="AP52" s="296"/>
      <c r="AQ52" s="296"/>
      <c r="AR52" s="296"/>
      <c r="AT52" s="132" t="s">
        <v>219</v>
      </c>
      <c r="AU52" s="130"/>
      <c r="AV52" s="130"/>
      <c r="AW52" s="130"/>
      <c r="AX52" s="130"/>
      <c r="AY52" s="130"/>
      <c r="AZ52" s="130"/>
      <c r="BA52" s="130"/>
      <c r="BB52" s="130"/>
      <c r="BC52" s="130"/>
      <c r="BD52" s="130"/>
      <c r="BE52" s="130"/>
      <c r="BF52" s="130"/>
      <c r="BG52" s="130"/>
      <c r="BH52" s="130"/>
      <c r="BI52" s="130"/>
      <c r="BJ52" s="130"/>
      <c r="BK52" s="130"/>
      <c r="BL52" s="130"/>
      <c r="BM52" s="130"/>
      <c r="BN52" s="130"/>
      <c r="BO52" s="131" t="s">
        <v>1</v>
      </c>
      <c r="BP52" s="281">
        <v>1.835</v>
      </c>
      <c r="BQ52" s="282"/>
      <c r="BR52" s="282"/>
      <c r="BS52" s="282"/>
      <c r="BT52" s="283"/>
    </row>
    <row r="53" spans="1:72" ht="12" customHeight="1" x14ac:dyDescent="0.15">
      <c r="A53" s="66"/>
      <c r="B53" s="354">
        <f t="shared" si="0"/>
        <v>5</v>
      </c>
      <c r="C53" s="355"/>
      <c r="D53" s="378" t="s">
        <v>214</v>
      </c>
      <c r="E53" s="344"/>
      <c r="F53" s="344"/>
      <c r="G53" s="344"/>
      <c r="H53" s="344"/>
      <c r="I53" s="344"/>
      <c r="J53" s="379">
        <v>10.56</v>
      </c>
      <c r="K53" s="380"/>
      <c r="L53" s="380"/>
      <c r="M53" s="330">
        <v>0</v>
      </c>
      <c r="N53" s="331"/>
      <c r="O53" s="331"/>
      <c r="P53" s="331"/>
      <c r="Q53" s="331"/>
      <c r="R53" s="331"/>
      <c r="S53" s="332"/>
      <c r="T53" s="381" t="s">
        <v>211</v>
      </c>
      <c r="U53" s="382"/>
      <c r="V53" s="382"/>
      <c r="W53" s="382"/>
      <c r="X53" s="382"/>
      <c r="Y53" s="343" t="s">
        <v>162</v>
      </c>
      <c r="Z53" s="344"/>
      <c r="AA53" s="344"/>
      <c r="AB53" s="344"/>
      <c r="AC53" s="344"/>
      <c r="AD53" s="368"/>
      <c r="AE53" s="369"/>
      <c r="AF53" s="369"/>
      <c r="AG53" s="369"/>
      <c r="AH53" s="369"/>
      <c r="AI53" s="290"/>
      <c r="AJ53" s="291"/>
      <c r="AK53" s="291"/>
      <c r="AL53" s="292"/>
      <c r="AM53" s="127"/>
      <c r="AO53" s="147">
        <v>1</v>
      </c>
      <c r="AP53" s="367"/>
      <c r="AQ53" s="367"/>
      <c r="AR53" s="367"/>
      <c r="AT53" s="134" t="s">
        <v>220</v>
      </c>
      <c r="AU53" s="133"/>
      <c r="AV53" s="133"/>
      <c r="AW53" s="133"/>
      <c r="AX53" s="133"/>
      <c r="AY53" s="133"/>
      <c r="AZ53" s="133"/>
      <c r="BA53" s="133"/>
      <c r="BB53" s="133"/>
      <c r="BC53" s="133"/>
      <c r="BD53" s="133"/>
      <c r="BE53" s="133"/>
      <c r="BF53" s="133"/>
      <c r="BG53" s="133"/>
      <c r="BH53" s="133"/>
      <c r="BI53" s="133"/>
      <c r="BJ53" s="133"/>
      <c r="BK53" s="133"/>
      <c r="BL53" s="133"/>
      <c r="BM53" s="133"/>
      <c r="BN53" s="133"/>
      <c r="BO53" s="135" t="s">
        <v>1</v>
      </c>
      <c r="BP53" s="281">
        <v>2.1</v>
      </c>
      <c r="BQ53" s="282"/>
      <c r="BR53" s="282"/>
      <c r="BS53" s="282"/>
      <c r="BT53" s="283"/>
    </row>
    <row r="54" spans="1:72" ht="12" customHeight="1" x14ac:dyDescent="0.15">
      <c r="A54" s="66"/>
      <c r="B54" s="354" t="str">
        <f t="shared" si="0"/>
        <v/>
      </c>
      <c r="C54" s="355"/>
      <c r="D54" s="370"/>
      <c r="E54" s="371"/>
      <c r="F54" s="371"/>
      <c r="G54" s="371"/>
      <c r="H54" s="371"/>
      <c r="I54" s="371"/>
      <c r="J54" s="372"/>
      <c r="K54" s="373"/>
      <c r="L54" s="373"/>
      <c r="M54" s="374"/>
      <c r="N54" s="375"/>
      <c r="O54" s="375"/>
      <c r="P54" s="375"/>
      <c r="Q54" s="375"/>
      <c r="R54" s="375"/>
      <c r="S54" s="376"/>
      <c r="T54" s="368"/>
      <c r="U54" s="369"/>
      <c r="V54" s="369"/>
      <c r="W54" s="369"/>
      <c r="X54" s="369"/>
      <c r="Y54" s="377"/>
      <c r="Z54" s="371"/>
      <c r="AA54" s="371"/>
      <c r="AB54" s="371"/>
      <c r="AC54" s="371"/>
      <c r="AD54" s="368"/>
      <c r="AE54" s="369"/>
      <c r="AF54" s="369"/>
      <c r="AG54" s="369"/>
      <c r="AH54" s="369"/>
      <c r="AI54" s="290"/>
      <c r="AJ54" s="291"/>
      <c r="AK54" s="291"/>
      <c r="AL54" s="292"/>
      <c r="AM54" s="127"/>
      <c r="AO54" s="147">
        <v>1</v>
      </c>
      <c r="AP54" s="367"/>
      <c r="AQ54" s="367"/>
      <c r="AR54" s="367"/>
      <c r="AT54" s="134" t="s">
        <v>221</v>
      </c>
      <c r="AU54" s="133"/>
      <c r="AV54" s="133"/>
      <c r="AW54" s="133"/>
      <c r="AX54" s="133"/>
      <c r="AY54" s="133"/>
      <c r="AZ54" s="133"/>
      <c r="BA54" s="133"/>
      <c r="BB54" s="133"/>
      <c r="BC54" s="133"/>
      <c r="BD54" s="133"/>
      <c r="BE54" s="133"/>
      <c r="BF54" s="133"/>
      <c r="BG54" s="133"/>
      <c r="BH54" s="133"/>
      <c r="BI54" s="133"/>
      <c r="BJ54" s="133"/>
      <c r="BK54" s="133"/>
      <c r="BL54" s="133"/>
      <c r="BM54" s="133"/>
      <c r="BN54" s="133"/>
      <c r="BO54" s="135" t="s">
        <v>1</v>
      </c>
      <c r="BP54" s="281">
        <v>1.835</v>
      </c>
      <c r="BQ54" s="282"/>
      <c r="BR54" s="282"/>
      <c r="BS54" s="282"/>
      <c r="BT54" s="283"/>
    </row>
    <row r="55" spans="1:72" ht="12" customHeight="1" x14ac:dyDescent="0.15">
      <c r="A55" s="66"/>
      <c r="B55" s="354" t="str">
        <f t="shared" si="0"/>
        <v/>
      </c>
      <c r="C55" s="355"/>
      <c r="D55" s="370"/>
      <c r="E55" s="371"/>
      <c r="F55" s="371"/>
      <c r="G55" s="371"/>
      <c r="H55" s="371"/>
      <c r="I55" s="371"/>
      <c r="J55" s="372"/>
      <c r="K55" s="373"/>
      <c r="L55" s="373"/>
      <c r="M55" s="374"/>
      <c r="N55" s="375"/>
      <c r="O55" s="375"/>
      <c r="P55" s="375"/>
      <c r="Q55" s="375"/>
      <c r="R55" s="375"/>
      <c r="S55" s="376"/>
      <c r="T55" s="368"/>
      <c r="U55" s="369"/>
      <c r="V55" s="369"/>
      <c r="W55" s="369"/>
      <c r="X55" s="369"/>
      <c r="Y55" s="377"/>
      <c r="Z55" s="371"/>
      <c r="AA55" s="371"/>
      <c r="AB55" s="371"/>
      <c r="AC55" s="371"/>
      <c r="AD55" s="368"/>
      <c r="AE55" s="369"/>
      <c r="AF55" s="369"/>
      <c r="AG55" s="369"/>
      <c r="AH55" s="369"/>
      <c r="AI55" s="290"/>
      <c r="AJ55" s="291"/>
      <c r="AK55" s="291"/>
      <c r="AL55" s="292"/>
      <c r="AM55" s="127"/>
      <c r="AO55" s="147">
        <v>1</v>
      </c>
      <c r="AP55" s="367"/>
      <c r="AQ55" s="367"/>
      <c r="AR55" s="367"/>
      <c r="AT55" s="134" t="s">
        <v>224</v>
      </c>
      <c r="AU55" s="133"/>
      <c r="AV55" s="133"/>
      <c r="AW55" s="133"/>
      <c r="AX55" s="133"/>
      <c r="AY55" s="133"/>
      <c r="AZ55" s="133"/>
      <c r="BA55" s="133"/>
      <c r="BB55" s="133"/>
      <c r="BC55" s="133"/>
      <c r="BD55" s="133"/>
      <c r="BE55" s="133"/>
      <c r="BF55" s="133"/>
      <c r="BG55" s="133"/>
      <c r="BH55" s="133"/>
      <c r="BI55" s="133"/>
      <c r="BJ55" s="133"/>
      <c r="BK55" s="133"/>
      <c r="BL55" s="133"/>
      <c r="BM55" s="133"/>
      <c r="BN55" s="133"/>
      <c r="BO55" s="135" t="s">
        <v>1</v>
      </c>
      <c r="BP55" s="281">
        <v>1.835</v>
      </c>
      <c r="BQ55" s="282"/>
      <c r="BR55" s="282"/>
      <c r="BS55" s="282"/>
      <c r="BT55" s="283"/>
    </row>
    <row r="56" spans="1:72" ht="12" customHeight="1" x14ac:dyDescent="0.15">
      <c r="A56" s="66"/>
      <c r="B56" s="354" t="str">
        <f t="shared" si="0"/>
        <v/>
      </c>
      <c r="C56" s="355"/>
      <c r="D56" s="370"/>
      <c r="E56" s="371"/>
      <c r="F56" s="371"/>
      <c r="G56" s="371"/>
      <c r="H56" s="371"/>
      <c r="I56" s="371"/>
      <c r="J56" s="372"/>
      <c r="K56" s="373"/>
      <c r="L56" s="373"/>
      <c r="M56" s="374"/>
      <c r="N56" s="375"/>
      <c r="O56" s="375"/>
      <c r="P56" s="375"/>
      <c r="Q56" s="375"/>
      <c r="R56" s="375"/>
      <c r="S56" s="376"/>
      <c r="T56" s="368"/>
      <c r="U56" s="369"/>
      <c r="V56" s="369"/>
      <c r="W56" s="369"/>
      <c r="X56" s="369"/>
      <c r="Y56" s="377"/>
      <c r="Z56" s="371"/>
      <c r="AA56" s="371"/>
      <c r="AB56" s="371"/>
      <c r="AC56" s="371"/>
      <c r="AD56" s="368"/>
      <c r="AE56" s="369"/>
      <c r="AF56" s="369"/>
      <c r="AG56" s="369"/>
      <c r="AH56" s="369"/>
      <c r="AI56" s="290"/>
      <c r="AJ56" s="291"/>
      <c r="AK56" s="291"/>
      <c r="AL56" s="292"/>
      <c r="AM56" s="127"/>
      <c r="AO56" s="147">
        <v>1</v>
      </c>
      <c r="AP56" s="367"/>
      <c r="AQ56" s="367"/>
      <c r="AR56" s="367"/>
      <c r="AT56" s="134" t="s">
        <v>222</v>
      </c>
      <c r="AU56" s="133"/>
      <c r="AV56" s="133"/>
      <c r="AW56" s="133"/>
      <c r="AX56" s="133"/>
      <c r="AY56" s="133"/>
      <c r="AZ56" s="133"/>
      <c r="BA56" s="133"/>
      <c r="BB56" s="133"/>
      <c r="BC56" s="133"/>
      <c r="BD56" s="133"/>
      <c r="BE56" s="133"/>
      <c r="BF56" s="133"/>
      <c r="BG56" s="133"/>
      <c r="BH56" s="133"/>
      <c r="BI56" s="133"/>
      <c r="BJ56" s="133"/>
      <c r="BK56" s="133"/>
      <c r="BL56" s="133"/>
      <c r="BM56" s="133"/>
      <c r="BN56" s="133"/>
      <c r="BO56" s="135" t="s">
        <v>1</v>
      </c>
      <c r="BP56" s="281">
        <v>1.835</v>
      </c>
      <c r="BQ56" s="282"/>
      <c r="BR56" s="282"/>
      <c r="BS56" s="282"/>
      <c r="BT56" s="283"/>
    </row>
    <row r="57" spans="1:72" ht="12" customHeight="1" x14ac:dyDescent="0.15">
      <c r="A57" s="66"/>
      <c r="B57" s="354" t="str">
        <f t="shared" si="0"/>
        <v/>
      </c>
      <c r="C57" s="355"/>
      <c r="D57" s="370"/>
      <c r="E57" s="371"/>
      <c r="F57" s="371"/>
      <c r="G57" s="371"/>
      <c r="H57" s="371"/>
      <c r="I57" s="371"/>
      <c r="J57" s="372"/>
      <c r="K57" s="373"/>
      <c r="L57" s="373"/>
      <c r="M57" s="374"/>
      <c r="N57" s="375"/>
      <c r="O57" s="375"/>
      <c r="P57" s="375"/>
      <c r="Q57" s="375"/>
      <c r="R57" s="375"/>
      <c r="S57" s="376"/>
      <c r="T57" s="368"/>
      <c r="U57" s="369"/>
      <c r="V57" s="369"/>
      <c r="W57" s="369"/>
      <c r="X57" s="369"/>
      <c r="Y57" s="377"/>
      <c r="Z57" s="371"/>
      <c r="AA57" s="371"/>
      <c r="AB57" s="371"/>
      <c r="AC57" s="371"/>
      <c r="AD57" s="368"/>
      <c r="AE57" s="369"/>
      <c r="AF57" s="369"/>
      <c r="AG57" s="369"/>
      <c r="AH57" s="369"/>
      <c r="AI57" s="290"/>
      <c r="AJ57" s="291"/>
      <c r="AK57" s="291"/>
      <c r="AL57" s="292"/>
      <c r="AM57" s="127"/>
      <c r="AO57" s="147">
        <v>1</v>
      </c>
      <c r="AP57" s="367"/>
      <c r="AQ57" s="367"/>
      <c r="AR57" s="367"/>
      <c r="AT57" s="134" t="s">
        <v>223</v>
      </c>
      <c r="AU57" s="133"/>
      <c r="AV57" s="133"/>
      <c r="AW57" s="133"/>
      <c r="AX57" s="133"/>
      <c r="AY57" s="133"/>
      <c r="AZ57" s="133"/>
      <c r="BA57" s="133"/>
      <c r="BB57" s="133"/>
      <c r="BC57" s="133"/>
      <c r="BD57" s="133"/>
      <c r="BE57" s="133"/>
      <c r="BF57" s="133"/>
      <c r="BG57" s="133"/>
      <c r="BH57" s="133"/>
      <c r="BI57" s="133"/>
      <c r="BJ57" s="133"/>
      <c r="BK57" s="133"/>
      <c r="BL57" s="133"/>
      <c r="BM57" s="133"/>
      <c r="BN57" s="133"/>
      <c r="BO57" s="135" t="s">
        <v>1</v>
      </c>
      <c r="BP57" s="281">
        <v>1.835</v>
      </c>
      <c r="BQ57" s="282"/>
      <c r="BR57" s="282"/>
      <c r="BS57" s="282"/>
      <c r="BT57" s="283"/>
    </row>
    <row r="58" spans="1:72" ht="12" customHeight="1" x14ac:dyDescent="0.15">
      <c r="A58" s="66"/>
      <c r="B58" s="354" t="str">
        <f t="shared" si="0"/>
        <v/>
      </c>
      <c r="C58" s="355"/>
      <c r="D58" s="370"/>
      <c r="E58" s="371"/>
      <c r="F58" s="371"/>
      <c r="G58" s="371"/>
      <c r="H58" s="371"/>
      <c r="I58" s="371"/>
      <c r="J58" s="372"/>
      <c r="K58" s="373"/>
      <c r="L58" s="373"/>
      <c r="M58" s="374"/>
      <c r="N58" s="375"/>
      <c r="O58" s="375"/>
      <c r="P58" s="375"/>
      <c r="Q58" s="375"/>
      <c r="R58" s="375"/>
      <c r="S58" s="376"/>
      <c r="T58" s="368"/>
      <c r="U58" s="369"/>
      <c r="V58" s="369"/>
      <c r="W58" s="369"/>
      <c r="X58" s="369"/>
      <c r="Y58" s="377"/>
      <c r="Z58" s="371"/>
      <c r="AA58" s="371"/>
      <c r="AB58" s="371"/>
      <c r="AC58" s="371"/>
      <c r="AD58" s="368"/>
      <c r="AE58" s="369"/>
      <c r="AF58" s="369"/>
      <c r="AG58" s="369"/>
      <c r="AH58" s="369"/>
      <c r="AI58" s="290"/>
      <c r="AJ58" s="291"/>
      <c r="AK58" s="291"/>
      <c r="AL58" s="292"/>
      <c r="AM58" s="127"/>
      <c r="AO58" s="147">
        <v>1</v>
      </c>
      <c r="AP58" s="367"/>
      <c r="AQ58" s="367"/>
      <c r="AR58" s="367"/>
      <c r="AT58" s="132" t="s">
        <v>225</v>
      </c>
      <c r="AU58" s="130"/>
      <c r="AV58" s="130"/>
      <c r="AW58" s="130"/>
      <c r="AX58" s="130"/>
      <c r="AY58" s="130"/>
      <c r="AZ58" s="130"/>
      <c r="BA58" s="130"/>
      <c r="BB58" s="130"/>
      <c r="BC58" s="130"/>
      <c r="BD58" s="130"/>
      <c r="BE58" s="130"/>
      <c r="BF58" s="130"/>
      <c r="BG58" s="130"/>
      <c r="BH58" s="130"/>
      <c r="BI58" s="130"/>
      <c r="BJ58" s="130"/>
      <c r="BK58" s="130"/>
      <c r="BL58" s="130"/>
      <c r="BM58" s="130"/>
      <c r="BN58" s="130"/>
      <c r="BO58" s="131" t="s">
        <v>1</v>
      </c>
      <c r="BP58" s="281">
        <v>1</v>
      </c>
      <c r="BQ58" s="282"/>
      <c r="BR58" s="282"/>
      <c r="BS58" s="282"/>
      <c r="BT58" s="283"/>
    </row>
    <row r="59" spans="1:72" ht="12" customHeight="1" x14ac:dyDescent="0.15">
      <c r="A59" s="66"/>
      <c r="B59" s="354" t="str">
        <f>IF(AND(D59&lt;&gt;"",J59&lt;&gt;"",M59&lt;&gt;"",T59&lt;&gt;"",Y59&lt;&gt;""),B58+1,"")</f>
        <v/>
      </c>
      <c r="C59" s="355"/>
      <c r="D59" s="370"/>
      <c r="E59" s="371"/>
      <c r="F59" s="371"/>
      <c r="G59" s="371"/>
      <c r="H59" s="371"/>
      <c r="I59" s="371"/>
      <c r="J59" s="372"/>
      <c r="K59" s="373"/>
      <c r="L59" s="373"/>
      <c r="M59" s="374"/>
      <c r="N59" s="375"/>
      <c r="O59" s="375"/>
      <c r="P59" s="375"/>
      <c r="Q59" s="375"/>
      <c r="R59" s="375"/>
      <c r="S59" s="376"/>
      <c r="T59" s="368"/>
      <c r="U59" s="369"/>
      <c r="V59" s="369"/>
      <c r="W59" s="369"/>
      <c r="X59" s="369"/>
      <c r="Y59" s="377"/>
      <c r="Z59" s="371"/>
      <c r="AA59" s="371"/>
      <c r="AB59" s="371"/>
      <c r="AC59" s="371"/>
      <c r="AD59" s="368"/>
      <c r="AE59" s="369"/>
      <c r="AF59" s="369"/>
      <c r="AG59" s="369"/>
      <c r="AH59" s="369"/>
      <c r="AI59" s="290"/>
      <c r="AJ59" s="291"/>
      <c r="AK59" s="291"/>
      <c r="AL59" s="292"/>
      <c r="AM59" s="127"/>
      <c r="AO59" s="147">
        <v>1</v>
      </c>
      <c r="AP59" s="367"/>
      <c r="AQ59" s="367"/>
      <c r="AR59" s="367"/>
      <c r="AT59" s="137" t="s">
        <v>226</v>
      </c>
      <c r="AU59" s="136"/>
      <c r="AV59" s="136"/>
      <c r="AW59" s="136"/>
      <c r="AX59" s="136"/>
      <c r="AY59" s="136"/>
      <c r="AZ59" s="136"/>
      <c r="BA59" s="136"/>
      <c r="BB59" s="136"/>
      <c r="BC59" s="136"/>
      <c r="BD59" s="136"/>
      <c r="BE59" s="136"/>
      <c r="BF59" s="136"/>
      <c r="BG59" s="136"/>
      <c r="BH59" s="136"/>
      <c r="BI59" s="136"/>
      <c r="BJ59" s="136"/>
      <c r="BK59" s="136"/>
      <c r="BL59" s="136"/>
      <c r="BM59" s="136"/>
      <c r="BN59" s="136"/>
      <c r="BO59" s="138" t="s">
        <v>1</v>
      </c>
      <c r="BP59" s="281">
        <v>0.35</v>
      </c>
      <c r="BQ59" s="282"/>
      <c r="BR59" s="282"/>
      <c r="BS59" s="282"/>
      <c r="BT59" s="283"/>
    </row>
    <row r="60" spans="1:72" ht="12" customHeight="1" x14ac:dyDescent="0.15">
      <c r="A60" s="129"/>
      <c r="B60" s="120">
        <v>-2</v>
      </c>
      <c r="C60" s="120">
        <v>-1</v>
      </c>
      <c r="D60" s="120">
        <v>0</v>
      </c>
      <c r="E60" s="120">
        <v>1</v>
      </c>
      <c r="F60" s="120">
        <v>2</v>
      </c>
      <c r="G60" s="120">
        <v>3</v>
      </c>
      <c r="H60" s="120">
        <v>4</v>
      </c>
      <c r="I60" s="120">
        <v>5</v>
      </c>
      <c r="J60" s="120">
        <v>6</v>
      </c>
      <c r="K60" s="120">
        <v>7</v>
      </c>
      <c r="L60" s="120">
        <v>8</v>
      </c>
      <c r="M60" s="120">
        <v>9</v>
      </c>
      <c r="N60" s="120">
        <v>10</v>
      </c>
      <c r="O60" s="120">
        <v>11</v>
      </c>
      <c r="P60" s="120">
        <v>12</v>
      </c>
      <c r="Q60" s="120">
        <v>13</v>
      </c>
      <c r="R60" s="120">
        <v>14</v>
      </c>
      <c r="S60" s="120">
        <v>15</v>
      </c>
      <c r="T60" s="120">
        <v>16</v>
      </c>
      <c r="U60" s="120">
        <v>17</v>
      </c>
      <c r="V60" s="120">
        <v>18</v>
      </c>
      <c r="W60" s="120">
        <v>19</v>
      </c>
      <c r="X60" s="120">
        <v>20</v>
      </c>
      <c r="Y60" s="121">
        <v>21</v>
      </c>
      <c r="Z60" s="121">
        <v>22</v>
      </c>
      <c r="AA60" s="121">
        <v>23</v>
      </c>
      <c r="AB60" s="121">
        <v>24</v>
      </c>
      <c r="AC60" s="121">
        <v>25</v>
      </c>
      <c r="AD60" s="121">
        <v>26</v>
      </c>
      <c r="AE60" s="120">
        <v>27</v>
      </c>
      <c r="AF60" s="120">
        <v>28</v>
      </c>
      <c r="AG60" s="120">
        <v>29</v>
      </c>
      <c r="AH60" s="120">
        <v>30</v>
      </c>
      <c r="AI60" s="121">
        <v>31</v>
      </c>
      <c r="AJ60" s="121">
        <v>32</v>
      </c>
      <c r="AK60" s="121">
        <v>33</v>
      </c>
      <c r="AL60" s="121">
        <v>34</v>
      </c>
      <c r="AM60" s="129"/>
      <c r="AT60" s="140" t="s">
        <v>229</v>
      </c>
      <c r="AU60" s="139"/>
      <c r="AV60" s="139"/>
      <c r="AW60" s="139"/>
      <c r="AX60" s="139"/>
      <c r="AY60" s="139"/>
      <c r="AZ60" s="139"/>
      <c r="BA60" s="139"/>
      <c r="BB60" s="139"/>
      <c r="BC60" s="139"/>
      <c r="BD60" s="139"/>
      <c r="BE60" s="139"/>
      <c r="BF60" s="139"/>
      <c r="BG60" s="139"/>
      <c r="BH60" s="139"/>
      <c r="BI60" s="139"/>
      <c r="BJ60" s="139"/>
      <c r="BK60" s="139"/>
      <c r="BL60" s="139"/>
      <c r="BM60" s="139"/>
      <c r="BN60" s="139"/>
      <c r="BO60" s="141" t="s">
        <v>1</v>
      </c>
      <c r="BP60" s="281">
        <v>0.35</v>
      </c>
      <c r="BQ60" s="282"/>
      <c r="BR60" s="282"/>
      <c r="BS60" s="282"/>
      <c r="BT60" s="283"/>
    </row>
    <row r="61" spans="1:72" ht="12" customHeight="1" x14ac:dyDescent="0.15">
      <c r="A61" s="71"/>
      <c r="B61" s="87"/>
      <c r="C61" s="87"/>
      <c r="D61" s="87"/>
      <c r="E61" s="87"/>
      <c r="F61" s="87"/>
      <c r="G61" s="87"/>
      <c r="H61" s="87"/>
      <c r="I61" s="87"/>
      <c r="J61" s="87"/>
      <c r="K61" s="87"/>
      <c r="L61" s="87"/>
      <c r="M61" s="87"/>
      <c r="N61" s="87"/>
      <c r="O61" s="87"/>
      <c r="P61" s="87"/>
      <c r="Q61" s="87"/>
      <c r="R61" s="87"/>
      <c r="S61" s="87"/>
      <c r="T61" s="87"/>
      <c r="U61" s="87"/>
      <c r="V61" s="87"/>
      <c r="W61" s="87"/>
      <c r="X61" s="87"/>
      <c r="Y61" s="87"/>
      <c r="Z61" s="87"/>
      <c r="AA61" s="87"/>
      <c r="AB61" s="87"/>
      <c r="AC61" s="87"/>
      <c r="AD61" s="87"/>
      <c r="AE61" s="87"/>
      <c r="AF61" s="87"/>
      <c r="AG61" s="87"/>
      <c r="AH61" s="87"/>
      <c r="AI61" s="87"/>
      <c r="AJ61" s="87"/>
      <c r="AK61" s="87"/>
      <c r="AL61" s="87"/>
      <c r="AM61" s="73"/>
    </row>
    <row r="62" spans="1:72" ht="12" customHeight="1" x14ac:dyDescent="0.15">
      <c r="A62" s="66"/>
      <c r="AM62" s="67"/>
      <c r="AT62" s="140" t="s">
        <v>227</v>
      </c>
      <c r="AU62" s="139"/>
      <c r="AV62" s="139"/>
      <c r="AW62" s="139"/>
      <c r="AX62" s="139"/>
      <c r="AY62" s="139"/>
      <c r="AZ62" s="139"/>
      <c r="BA62" s="139"/>
      <c r="BB62" s="139"/>
      <c r="BC62" s="139"/>
      <c r="BD62" s="139"/>
      <c r="BE62" s="139"/>
      <c r="BF62" s="139"/>
      <c r="BG62" s="139"/>
      <c r="BH62" s="139"/>
      <c r="BI62" s="139"/>
      <c r="BJ62" s="139"/>
      <c r="BK62" s="139"/>
      <c r="BL62" s="139"/>
      <c r="BM62" s="139"/>
      <c r="BN62" s="139"/>
      <c r="BO62" s="141" t="s">
        <v>1</v>
      </c>
      <c r="BP62" s="405" t="s">
        <v>228</v>
      </c>
      <c r="BQ62" s="406"/>
      <c r="BR62" s="406"/>
      <c r="BS62" s="406"/>
      <c r="BT62" s="407"/>
    </row>
    <row r="63" spans="1:72" ht="12" customHeight="1" x14ac:dyDescent="0.15">
      <c r="A63" s="66"/>
      <c r="B63" s="77" t="s">
        <v>201</v>
      </c>
      <c r="AM63" s="67"/>
      <c r="AT63" s="79"/>
      <c r="AU63" s="79"/>
    </row>
    <row r="64" spans="1:72" ht="12" customHeight="1" x14ac:dyDescent="0.15">
      <c r="A64" s="66"/>
      <c r="AM64" s="67"/>
      <c r="AT64" s="79"/>
      <c r="AU64" s="79"/>
    </row>
    <row r="65" spans="1:47" ht="12" customHeight="1" x14ac:dyDescent="0.15">
      <c r="A65" s="66"/>
      <c r="B65" s="293" t="s">
        <v>127</v>
      </c>
      <c r="C65" s="294"/>
      <c r="D65" s="383" t="s">
        <v>128</v>
      </c>
      <c r="E65" s="389"/>
      <c r="F65" s="389"/>
      <c r="G65" s="389"/>
      <c r="H65" s="389"/>
      <c r="I65" s="389"/>
      <c r="J65" s="285"/>
      <c r="K65" s="285"/>
      <c r="L65" s="286"/>
      <c r="M65" s="383" t="s">
        <v>182</v>
      </c>
      <c r="N65" s="285"/>
      <c r="O65" s="285"/>
      <c r="P65" s="285"/>
      <c r="Q65" s="285"/>
      <c r="R65" s="285"/>
      <c r="S65" s="286"/>
      <c r="T65" s="361" t="s">
        <v>185</v>
      </c>
      <c r="U65" s="362"/>
      <c r="V65" s="362"/>
      <c r="W65" s="362"/>
      <c r="X65" s="362"/>
      <c r="Y65" s="384" t="s">
        <v>209</v>
      </c>
      <c r="Z65" s="355"/>
      <c r="AA65" s="355"/>
      <c r="AB65" s="355"/>
      <c r="AC65" s="355"/>
      <c r="AD65" s="384" t="s">
        <v>210</v>
      </c>
      <c r="AE65" s="355"/>
      <c r="AF65" s="355"/>
      <c r="AG65" s="355"/>
      <c r="AH65" s="355"/>
      <c r="AM65" s="67"/>
      <c r="AT65" s="79"/>
      <c r="AU65" s="79"/>
    </row>
    <row r="66" spans="1:47" ht="12" customHeight="1" x14ac:dyDescent="0.15">
      <c r="A66" s="66"/>
      <c r="B66" s="354">
        <f>IF(AND(D66&lt;&gt;"",M66&lt;&gt;"",T66&lt;&gt;"",Y66&lt;&gt;"",AD66&lt;&gt;""),1,"")</f>
        <v>1</v>
      </c>
      <c r="C66" s="355"/>
      <c r="D66" s="390" t="s">
        <v>177</v>
      </c>
      <c r="E66" s="391"/>
      <c r="F66" s="391"/>
      <c r="G66" s="391"/>
      <c r="H66" s="391"/>
      <c r="I66" s="391"/>
      <c r="J66" s="285"/>
      <c r="K66" s="285"/>
      <c r="L66" s="286"/>
      <c r="M66" s="287" t="s">
        <v>200</v>
      </c>
      <c r="N66" s="288"/>
      <c r="O66" s="288"/>
      <c r="P66" s="288"/>
      <c r="Q66" s="288"/>
      <c r="R66" s="288"/>
      <c r="S66" s="289"/>
      <c r="T66" s="356" t="s">
        <v>186</v>
      </c>
      <c r="U66" s="357"/>
      <c r="V66" s="357"/>
      <c r="W66" s="357"/>
      <c r="X66" s="358"/>
      <c r="Y66" s="385" t="s">
        <v>18</v>
      </c>
      <c r="Z66" s="355"/>
      <c r="AA66" s="355"/>
      <c r="AB66" s="355"/>
      <c r="AC66" s="355"/>
      <c r="AD66" s="386" t="s">
        <v>186</v>
      </c>
      <c r="AE66" s="387"/>
      <c r="AF66" s="387"/>
      <c r="AG66" s="387"/>
      <c r="AH66" s="388"/>
      <c r="AM66" s="67"/>
      <c r="AT66" s="79"/>
      <c r="AU66" s="79"/>
    </row>
    <row r="67" spans="1:47" ht="12" customHeight="1" x14ac:dyDescent="0.15">
      <c r="A67" s="66"/>
      <c r="B67" s="354">
        <f>IF(AND(D67&lt;&gt;"",M67&lt;&gt;"",T67&lt;&gt;"",Y67&lt;&gt;"",AD67&lt;&gt;""),B66+1,"")</f>
        <v>2</v>
      </c>
      <c r="C67" s="355"/>
      <c r="D67" s="390" t="s">
        <v>178</v>
      </c>
      <c r="E67" s="391"/>
      <c r="F67" s="391"/>
      <c r="G67" s="391"/>
      <c r="H67" s="391"/>
      <c r="I67" s="391"/>
      <c r="J67" s="285"/>
      <c r="K67" s="285"/>
      <c r="L67" s="286"/>
      <c r="M67" s="287" t="s">
        <v>200</v>
      </c>
      <c r="N67" s="288"/>
      <c r="O67" s="288"/>
      <c r="P67" s="288"/>
      <c r="Q67" s="288"/>
      <c r="R67" s="288"/>
      <c r="S67" s="289"/>
      <c r="T67" s="356" t="s">
        <v>187</v>
      </c>
      <c r="U67" s="357"/>
      <c r="V67" s="357"/>
      <c r="W67" s="357"/>
      <c r="X67" s="358"/>
      <c r="Y67" s="385" t="s">
        <v>18</v>
      </c>
      <c r="Z67" s="355"/>
      <c r="AA67" s="355"/>
      <c r="AB67" s="355"/>
      <c r="AC67" s="355"/>
      <c r="AD67" s="386" t="s">
        <v>187</v>
      </c>
      <c r="AE67" s="387"/>
      <c r="AF67" s="387"/>
      <c r="AG67" s="387"/>
      <c r="AH67" s="388"/>
      <c r="AM67" s="67"/>
      <c r="AT67" s="79"/>
      <c r="AU67" s="79"/>
    </row>
    <row r="68" spans="1:47" ht="12" customHeight="1" x14ac:dyDescent="0.15">
      <c r="A68" s="66"/>
      <c r="B68" s="354">
        <f t="shared" ref="B68:B76" si="1">IF(AND(D68&lt;&gt;"",M68&lt;&gt;"",T68&lt;&gt;"",Y68&lt;&gt;"",AD68&lt;&gt;""),B67+1,"")</f>
        <v>3</v>
      </c>
      <c r="C68" s="355"/>
      <c r="D68" s="390" t="s">
        <v>179</v>
      </c>
      <c r="E68" s="391"/>
      <c r="F68" s="391"/>
      <c r="G68" s="391"/>
      <c r="H68" s="391"/>
      <c r="I68" s="391"/>
      <c r="J68" s="285"/>
      <c r="K68" s="285"/>
      <c r="L68" s="286"/>
      <c r="M68" s="287" t="s">
        <v>200</v>
      </c>
      <c r="N68" s="288"/>
      <c r="O68" s="288"/>
      <c r="P68" s="288"/>
      <c r="Q68" s="288"/>
      <c r="R68" s="288"/>
      <c r="S68" s="289"/>
      <c r="T68" s="356" t="s">
        <v>189</v>
      </c>
      <c r="U68" s="357"/>
      <c r="V68" s="357"/>
      <c r="W68" s="357"/>
      <c r="X68" s="358"/>
      <c r="Y68" s="385" t="s">
        <v>18</v>
      </c>
      <c r="Z68" s="355"/>
      <c r="AA68" s="355"/>
      <c r="AB68" s="355"/>
      <c r="AC68" s="355"/>
      <c r="AD68" s="386" t="s">
        <v>189</v>
      </c>
      <c r="AE68" s="387"/>
      <c r="AF68" s="387"/>
      <c r="AG68" s="387"/>
      <c r="AH68" s="388"/>
      <c r="AM68" s="67"/>
      <c r="AT68" s="79"/>
      <c r="AU68" s="79"/>
    </row>
    <row r="69" spans="1:47" ht="12" customHeight="1" x14ac:dyDescent="0.15">
      <c r="A69" s="66"/>
      <c r="B69" s="354">
        <f t="shared" si="1"/>
        <v>4</v>
      </c>
      <c r="C69" s="355"/>
      <c r="D69" s="390" t="s">
        <v>180</v>
      </c>
      <c r="E69" s="391"/>
      <c r="F69" s="391"/>
      <c r="G69" s="391"/>
      <c r="H69" s="391"/>
      <c r="I69" s="391"/>
      <c r="J69" s="285"/>
      <c r="K69" s="285"/>
      <c r="L69" s="286"/>
      <c r="M69" s="287" t="s">
        <v>200</v>
      </c>
      <c r="N69" s="288"/>
      <c r="O69" s="288"/>
      <c r="P69" s="288"/>
      <c r="Q69" s="288"/>
      <c r="R69" s="288"/>
      <c r="S69" s="289"/>
      <c r="T69" s="356" t="s">
        <v>188</v>
      </c>
      <c r="U69" s="357"/>
      <c r="V69" s="357"/>
      <c r="W69" s="357"/>
      <c r="X69" s="358"/>
      <c r="Y69" s="385" t="s">
        <v>18</v>
      </c>
      <c r="Z69" s="355"/>
      <c r="AA69" s="355"/>
      <c r="AB69" s="355"/>
      <c r="AC69" s="355"/>
      <c r="AD69" s="386" t="s">
        <v>188</v>
      </c>
      <c r="AE69" s="387"/>
      <c r="AF69" s="387"/>
      <c r="AG69" s="387"/>
      <c r="AH69" s="388"/>
      <c r="AM69" s="67"/>
    </row>
    <row r="70" spans="1:47" ht="12" customHeight="1" x14ac:dyDescent="0.15">
      <c r="A70" s="66"/>
      <c r="B70" s="354">
        <f t="shared" si="1"/>
        <v>5</v>
      </c>
      <c r="C70" s="355"/>
      <c r="D70" s="390" t="s">
        <v>181</v>
      </c>
      <c r="E70" s="392"/>
      <c r="F70" s="392"/>
      <c r="G70" s="392"/>
      <c r="H70" s="392"/>
      <c r="I70" s="392"/>
      <c r="J70" s="285"/>
      <c r="K70" s="285"/>
      <c r="L70" s="286"/>
      <c r="M70" s="287" t="s">
        <v>200</v>
      </c>
      <c r="N70" s="288"/>
      <c r="O70" s="288"/>
      <c r="P70" s="288"/>
      <c r="Q70" s="288"/>
      <c r="R70" s="288"/>
      <c r="S70" s="289"/>
      <c r="T70" s="356" t="s">
        <v>190</v>
      </c>
      <c r="U70" s="357"/>
      <c r="V70" s="357"/>
      <c r="W70" s="357"/>
      <c r="X70" s="358"/>
      <c r="Y70" s="385" t="s">
        <v>18</v>
      </c>
      <c r="Z70" s="355"/>
      <c r="AA70" s="355"/>
      <c r="AB70" s="355"/>
      <c r="AC70" s="355"/>
      <c r="AD70" s="386" t="s">
        <v>190</v>
      </c>
      <c r="AE70" s="387"/>
      <c r="AF70" s="387"/>
      <c r="AG70" s="387"/>
      <c r="AH70" s="388"/>
      <c r="AM70" s="67"/>
    </row>
    <row r="71" spans="1:47" ht="12" customHeight="1" x14ac:dyDescent="0.15">
      <c r="A71" s="66"/>
      <c r="B71" s="354" t="str">
        <f t="shared" si="1"/>
        <v/>
      </c>
      <c r="C71" s="355"/>
      <c r="D71" s="390"/>
      <c r="E71" s="392"/>
      <c r="F71" s="392"/>
      <c r="G71" s="392"/>
      <c r="H71" s="392"/>
      <c r="I71" s="392"/>
      <c r="J71" s="285"/>
      <c r="K71" s="285"/>
      <c r="L71" s="286"/>
      <c r="M71" s="393"/>
      <c r="N71" s="394"/>
      <c r="O71" s="394"/>
      <c r="P71" s="394"/>
      <c r="Q71" s="394"/>
      <c r="R71" s="394"/>
      <c r="S71" s="395"/>
      <c r="T71" s="396"/>
      <c r="U71" s="397"/>
      <c r="V71" s="397"/>
      <c r="W71" s="397"/>
      <c r="X71" s="397"/>
      <c r="Y71" s="385"/>
      <c r="Z71" s="355"/>
      <c r="AA71" s="355"/>
      <c r="AB71" s="355"/>
      <c r="AC71" s="355"/>
      <c r="AD71" s="354"/>
      <c r="AE71" s="355"/>
      <c r="AF71" s="355"/>
      <c r="AG71" s="355"/>
      <c r="AH71" s="355"/>
      <c r="AM71" s="67"/>
    </row>
    <row r="72" spans="1:47" ht="12" customHeight="1" x14ac:dyDescent="0.15">
      <c r="A72" s="66"/>
      <c r="B72" s="354" t="str">
        <f t="shared" si="1"/>
        <v/>
      </c>
      <c r="C72" s="355"/>
      <c r="D72" s="390"/>
      <c r="E72" s="392"/>
      <c r="F72" s="392"/>
      <c r="G72" s="392"/>
      <c r="H72" s="392"/>
      <c r="I72" s="392"/>
      <c r="J72" s="285"/>
      <c r="K72" s="285"/>
      <c r="L72" s="286"/>
      <c r="M72" s="393"/>
      <c r="N72" s="394"/>
      <c r="O72" s="394"/>
      <c r="P72" s="394"/>
      <c r="Q72" s="394"/>
      <c r="R72" s="394"/>
      <c r="S72" s="395"/>
      <c r="T72" s="396"/>
      <c r="U72" s="397"/>
      <c r="V72" s="397"/>
      <c r="W72" s="397"/>
      <c r="X72" s="397"/>
      <c r="Y72" s="385"/>
      <c r="Z72" s="355"/>
      <c r="AA72" s="355"/>
      <c r="AB72" s="355"/>
      <c r="AC72" s="355"/>
      <c r="AD72" s="354"/>
      <c r="AE72" s="355"/>
      <c r="AF72" s="355"/>
      <c r="AG72" s="355"/>
      <c r="AH72" s="355"/>
      <c r="AM72" s="67"/>
    </row>
    <row r="73" spans="1:47" ht="12" customHeight="1" x14ac:dyDescent="0.15">
      <c r="A73" s="66"/>
      <c r="B73" s="354" t="str">
        <f t="shared" si="1"/>
        <v/>
      </c>
      <c r="C73" s="355"/>
      <c r="D73" s="390"/>
      <c r="E73" s="392"/>
      <c r="F73" s="392"/>
      <c r="G73" s="392"/>
      <c r="H73" s="392"/>
      <c r="I73" s="392"/>
      <c r="J73" s="285"/>
      <c r="K73" s="285"/>
      <c r="L73" s="286"/>
      <c r="M73" s="393"/>
      <c r="N73" s="394"/>
      <c r="O73" s="394"/>
      <c r="P73" s="394"/>
      <c r="Q73" s="394"/>
      <c r="R73" s="394"/>
      <c r="S73" s="395"/>
      <c r="T73" s="396"/>
      <c r="U73" s="397"/>
      <c r="V73" s="397"/>
      <c r="W73" s="397"/>
      <c r="X73" s="397"/>
      <c r="Y73" s="385"/>
      <c r="Z73" s="355"/>
      <c r="AA73" s="355"/>
      <c r="AB73" s="355"/>
      <c r="AC73" s="355"/>
      <c r="AD73" s="354"/>
      <c r="AE73" s="355"/>
      <c r="AF73" s="355"/>
      <c r="AG73" s="355"/>
      <c r="AH73" s="355"/>
      <c r="AM73" s="67"/>
    </row>
    <row r="74" spans="1:47" ht="12" customHeight="1" x14ac:dyDescent="0.15">
      <c r="A74" s="66"/>
      <c r="B74" s="354" t="str">
        <f t="shared" si="1"/>
        <v/>
      </c>
      <c r="C74" s="355"/>
      <c r="D74" s="390"/>
      <c r="E74" s="392"/>
      <c r="F74" s="392"/>
      <c r="G74" s="392"/>
      <c r="H74" s="392"/>
      <c r="I74" s="392"/>
      <c r="J74" s="285"/>
      <c r="K74" s="285"/>
      <c r="L74" s="286"/>
      <c r="M74" s="393"/>
      <c r="N74" s="394"/>
      <c r="O74" s="394"/>
      <c r="P74" s="394"/>
      <c r="Q74" s="394"/>
      <c r="R74" s="394"/>
      <c r="S74" s="395"/>
      <c r="T74" s="396"/>
      <c r="U74" s="397"/>
      <c r="V74" s="397"/>
      <c r="W74" s="397"/>
      <c r="X74" s="397"/>
      <c r="Y74" s="385"/>
      <c r="Z74" s="355"/>
      <c r="AA74" s="355"/>
      <c r="AB74" s="355"/>
      <c r="AC74" s="355"/>
      <c r="AD74" s="354"/>
      <c r="AE74" s="355"/>
      <c r="AF74" s="355"/>
      <c r="AG74" s="355"/>
      <c r="AH74" s="355"/>
      <c r="AM74" s="67"/>
    </row>
    <row r="75" spans="1:47" ht="12" customHeight="1" x14ac:dyDescent="0.15">
      <c r="A75" s="66"/>
      <c r="B75" s="354" t="str">
        <f t="shared" si="1"/>
        <v/>
      </c>
      <c r="C75" s="355"/>
      <c r="D75" s="390"/>
      <c r="E75" s="392"/>
      <c r="F75" s="392"/>
      <c r="G75" s="392"/>
      <c r="H75" s="392"/>
      <c r="I75" s="392"/>
      <c r="J75" s="285"/>
      <c r="K75" s="285"/>
      <c r="L75" s="286"/>
      <c r="M75" s="393"/>
      <c r="N75" s="394"/>
      <c r="O75" s="394"/>
      <c r="P75" s="394"/>
      <c r="Q75" s="394"/>
      <c r="R75" s="394"/>
      <c r="S75" s="395"/>
      <c r="T75" s="396"/>
      <c r="U75" s="397"/>
      <c r="V75" s="397"/>
      <c r="W75" s="397"/>
      <c r="X75" s="397"/>
      <c r="Y75" s="385"/>
      <c r="Z75" s="355"/>
      <c r="AA75" s="355"/>
      <c r="AB75" s="355"/>
      <c r="AC75" s="355"/>
      <c r="AD75" s="354"/>
      <c r="AE75" s="355"/>
      <c r="AF75" s="355"/>
      <c r="AG75" s="355"/>
      <c r="AH75" s="355"/>
      <c r="AM75" s="67"/>
    </row>
    <row r="76" spans="1:47" ht="12" customHeight="1" x14ac:dyDescent="0.15">
      <c r="A76" s="66"/>
      <c r="B76" s="354" t="str">
        <f t="shared" si="1"/>
        <v/>
      </c>
      <c r="C76" s="355"/>
      <c r="D76" s="390"/>
      <c r="E76" s="392"/>
      <c r="F76" s="392"/>
      <c r="G76" s="392"/>
      <c r="H76" s="392"/>
      <c r="I76" s="392"/>
      <c r="J76" s="285"/>
      <c r="K76" s="285"/>
      <c r="L76" s="286"/>
      <c r="M76" s="393"/>
      <c r="N76" s="394"/>
      <c r="O76" s="394"/>
      <c r="P76" s="394"/>
      <c r="Q76" s="394"/>
      <c r="R76" s="394"/>
      <c r="S76" s="395"/>
      <c r="T76" s="396"/>
      <c r="U76" s="397"/>
      <c r="V76" s="397"/>
      <c r="W76" s="397"/>
      <c r="X76" s="397"/>
      <c r="Y76" s="385"/>
      <c r="Z76" s="355"/>
      <c r="AA76" s="355"/>
      <c r="AB76" s="355"/>
      <c r="AC76" s="355"/>
      <c r="AD76" s="354"/>
      <c r="AE76" s="355"/>
      <c r="AF76" s="355"/>
      <c r="AG76" s="355"/>
      <c r="AH76" s="355"/>
      <c r="AM76" s="67"/>
    </row>
    <row r="77" spans="1:47" ht="12" customHeight="1" x14ac:dyDescent="0.15">
      <c r="A77" s="66"/>
      <c r="B77" s="120">
        <v>-2</v>
      </c>
      <c r="C77" s="120">
        <v>-1</v>
      </c>
      <c r="D77" s="120">
        <v>0</v>
      </c>
      <c r="E77" s="120">
        <v>1</v>
      </c>
      <c r="F77" s="120">
        <v>2</v>
      </c>
      <c r="G77" s="120">
        <v>3</v>
      </c>
      <c r="H77" s="120">
        <v>4</v>
      </c>
      <c r="I77" s="120">
        <v>5</v>
      </c>
      <c r="J77" s="120">
        <v>6</v>
      </c>
      <c r="K77" s="120">
        <v>7</v>
      </c>
      <c r="L77" s="120">
        <v>8</v>
      </c>
      <c r="M77" s="120">
        <v>9</v>
      </c>
      <c r="N77" s="120">
        <v>10</v>
      </c>
      <c r="O77" s="120">
        <v>11</v>
      </c>
      <c r="P77" s="120">
        <v>12</v>
      </c>
      <c r="Q77" s="120">
        <v>13</v>
      </c>
      <c r="R77" s="120">
        <v>14</v>
      </c>
      <c r="S77" s="120">
        <v>15</v>
      </c>
      <c r="T77" s="120">
        <v>16</v>
      </c>
      <c r="U77" s="120">
        <v>17</v>
      </c>
      <c r="V77" s="120">
        <v>18</v>
      </c>
      <c r="W77" s="120">
        <v>19</v>
      </c>
      <c r="X77" s="120">
        <v>20</v>
      </c>
      <c r="Y77" s="121">
        <v>21</v>
      </c>
      <c r="Z77" s="121">
        <v>22</v>
      </c>
      <c r="AA77" s="121">
        <v>23</v>
      </c>
      <c r="AB77" s="121">
        <v>24</v>
      </c>
      <c r="AC77" s="121">
        <v>25</v>
      </c>
      <c r="AD77" s="121">
        <v>26</v>
      </c>
      <c r="AE77" s="120">
        <v>27</v>
      </c>
      <c r="AF77" s="120">
        <v>28</v>
      </c>
      <c r="AG77" s="120">
        <v>29</v>
      </c>
      <c r="AH77" s="120">
        <v>30</v>
      </c>
      <c r="AM77" s="67"/>
    </row>
    <row r="78" spans="1:47" ht="12" customHeight="1" x14ac:dyDescent="0.15">
      <c r="A78" s="66"/>
      <c r="AM78" s="67"/>
    </row>
    <row r="79" spans="1:47" ht="12" customHeight="1" x14ac:dyDescent="0.15">
      <c r="A79" s="66"/>
      <c r="B79" s="77" t="s">
        <v>202</v>
      </c>
      <c r="AM79" s="67"/>
    </row>
    <row r="80" spans="1:47" ht="12" customHeight="1" x14ac:dyDescent="0.15">
      <c r="A80" s="66"/>
      <c r="AM80" s="67"/>
    </row>
    <row r="81" spans="1:39" ht="12" customHeight="1" x14ac:dyDescent="0.15">
      <c r="A81" s="66"/>
      <c r="B81" s="293" t="s">
        <v>127</v>
      </c>
      <c r="C81" s="294"/>
      <c r="D81" s="383" t="s">
        <v>128</v>
      </c>
      <c r="E81" s="389"/>
      <c r="F81" s="389"/>
      <c r="G81" s="389"/>
      <c r="H81" s="389"/>
      <c r="I81" s="389"/>
      <c r="J81" s="285"/>
      <c r="K81" s="285"/>
      <c r="L81" s="286"/>
      <c r="M81" s="383" t="s">
        <v>182</v>
      </c>
      <c r="N81" s="285"/>
      <c r="O81" s="285"/>
      <c r="P81" s="285"/>
      <c r="Q81" s="285"/>
      <c r="R81" s="361" t="s">
        <v>183</v>
      </c>
      <c r="S81" s="362"/>
      <c r="T81" s="362"/>
      <c r="U81" s="362"/>
      <c r="V81" s="362"/>
      <c r="W81" s="362" t="s">
        <v>184</v>
      </c>
      <c r="X81" s="366"/>
      <c r="Y81" s="366"/>
      <c r="Z81" s="366"/>
      <c r="AA81" s="366"/>
      <c r="AB81" s="383" t="s">
        <v>191</v>
      </c>
      <c r="AC81" s="389"/>
      <c r="AD81" s="389"/>
      <c r="AE81" s="389"/>
      <c r="AF81" s="389"/>
      <c r="AG81" s="285"/>
      <c r="AH81" s="286"/>
      <c r="AM81" s="67"/>
    </row>
    <row r="82" spans="1:39" ht="12" customHeight="1" x14ac:dyDescent="0.15">
      <c r="A82" s="66"/>
      <c r="B82" s="354">
        <f>IF(AND(D82&lt;&gt;"",M82&lt;&gt;"",R82&lt;&gt;"",W82&lt;&gt;"",AB82&lt;&gt;""),1,"")</f>
        <v>1</v>
      </c>
      <c r="C82" s="355"/>
      <c r="D82" s="390" t="s">
        <v>192</v>
      </c>
      <c r="E82" s="391"/>
      <c r="F82" s="391"/>
      <c r="G82" s="391"/>
      <c r="H82" s="391"/>
      <c r="I82" s="391"/>
      <c r="J82" s="285"/>
      <c r="K82" s="285"/>
      <c r="L82" s="286"/>
      <c r="M82" s="400" t="s">
        <v>195</v>
      </c>
      <c r="N82" s="285"/>
      <c r="O82" s="285"/>
      <c r="P82" s="285"/>
      <c r="Q82" s="285"/>
      <c r="R82" s="390" t="s">
        <v>194</v>
      </c>
      <c r="S82" s="391"/>
      <c r="T82" s="391"/>
      <c r="U82" s="391"/>
      <c r="V82" s="398"/>
      <c r="W82" s="399" t="s">
        <v>195</v>
      </c>
      <c r="X82" s="397"/>
      <c r="Y82" s="397"/>
      <c r="Z82" s="397"/>
      <c r="AA82" s="397"/>
      <c r="AB82" s="401">
        <v>6</v>
      </c>
      <c r="AC82" s="402"/>
      <c r="AD82" s="402"/>
      <c r="AE82" s="402"/>
      <c r="AF82" s="402"/>
      <c r="AG82" s="285"/>
      <c r="AH82" s="286"/>
      <c r="AM82" s="67"/>
    </row>
    <row r="83" spans="1:39" ht="12" customHeight="1" x14ac:dyDescent="0.15">
      <c r="A83" s="66"/>
      <c r="B83" s="354">
        <f t="shared" ref="B83:B92" si="2">IF(AND(D83&lt;&gt;"",M83&lt;&gt;"",R83&lt;&gt;"",W83&lt;&gt;"",AB83&lt;&gt;""),B82+1,"")</f>
        <v>2</v>
      </c>
      <c r="C83" s="355"/>
      <c r="D83" s="390" t="s">
        <v>178</v>
      </c>
      <c r="E83" s="391"/>
      <c r="F83" s="391"/>
      <c r="G83" s="391"/>
      <c r="H83" s="391"/>
      <c r="I83" s="391"/>
      <c r="J83" s="285"/>
      <c r="K83" s="285"/>
      <c r="L83" s="286"/>
      <c r="M83" s="287" t="s">
        <v>199</v>
      </c>
      <c r="N83" s="285"/>
      <c r="O83" s="285"/>
      <c r="P83" s="285"/>
      <c r="Q83" s="285"/>
      <c r="R83" s="390" t="s">
        <v>193</v>
      </c>
      <c r="S83" s="391"/>
      <c r="T83" s="391"/>
      <c r="U83" s="391"/>
      <c r="V83" s="398"/>
      <c r="W83" s="343" t="s">
        <v>18</v>
      </c>
      <c r="X83" s="344"/>
      <c r="Y83" s="344"/>
      <c r="Z83" s="344"/>
      <c r="AA83" s="344"/>
      <c r="AB83" s="356" t="s">
        <v>196</v>
      </c>
      <c r="AC83" s="357"/>
      <c r="AD83" s="357"/>
      <c r="AE83" s="357"/>
      <c r="AF83" s="357"/>
      <c r="AG83" s="285"/>
      <c r="AH83" s="286"/>
      <c r="AM83" s="67"/>
    </row>
    <row r="84" spans="1:39" ht="12" customHeight="1" x14ac:dyDescent="0.15">
      <c r="A84" s="66"/>
      <c r="B84" s="354">
        <f t="shared" si="2"/>
        <v>3</v>
      </c>
      <c r="C84" s="355"/>
      <c r="D84" s="123" t="s">
        <v>179</v>
      </c>
      <c r="E84" s="124"/>
      <c r="F84" s="124"/>
      <c r="G84" s="124"/>
      <c r="H84" s="124"/>
      <c r="I84" s="124"/>
      <c r="J84" s="125"/>
      <c r="K84" s="125"/>
      <c r="L84" s="126"/>
      <c r="M84" s="287" t="s">
        <v>199</v>
      </c>
      <c r="N84" s="285"/>
      <c r="O84" s="285"/>
      <c r="P84" s="285"/>
      <c r="Q84" s="285"/>
      <c r="R84" s="390" t="s">
        <v>193</v>
      </c>
      <c r="S84" s="391"/>
      <c r="T84" s="391"/>
      <c r="U84" s="391"/>
      <c r="V84" s="398"/>
      <c r="W84" s="343" t="s">
        <v>18</v>
      </c>
      <c r="X84" s="344"/>
      <c r="Y84" s="344"/>
      <c r="Z84" s="344"/>
      <c r="AA84" s="344"/>
      <c r="AB84" s="356" t="s">
        <v>196</v>
      </c>
      <c r="AC84" s="357"/>
      <c r="AD84" s="357"/>
      <c r="AE84" s="357"/>
      <c r="AF84" s="357"/>
      <c r="AG84" s="285"/>
      <c r="AH84" s="286"/>
      <c r="AM84" s="67"/>
    </row>
    <row r="85" spans="1:39" ht="12" customHeight="1" x14ac:dyDescent="0.15">
      <c r="A85" s="66"/>
      <c r="B85" s="354">
        <f t="shared" si="2"/>
        <v>4</v>
      </c>
      <c r="C85" s="355"/>
      <c r="D85" s="123" t="s">
        <v>180</v>
      </c>
      <c r="E85" s="124"/>
      <c r="F85" s="124"/>
      <c r="G85" s="124"/>
      <c r="H85" s="124"/>
      <c r="I85" s="124"/>
      <c r="J85" s="125"/>
      <c r="K85" s="125"/>
      <c r="L85" s="126"/>
      <c r="M85" s="287" t="s">
        <v>199</v>
      </c>
      <c r="N85" s="285"/>
      <c r="O85" s="285"/>
      <c r="P85" s="285"/>
      <c r="Q85" s="285"/>
      <c r="R85" s="356" t="s">
        <v>18</v>
      </c>
      <c r="S85" s="357"/>
      <c r="T85" s="357"/>
      <c r="U85" s="357"/>
      <c r="V85" s="358"/>
      <c r="W85" s="343" t="s">
        <v>18</v>
      </c>
      <c r="X85" s="344"/>
      <c r="Y85" s="344"/>
      <c r="Z85" s="344"/>
      <c r="AA85" s="344"/>
      <c r="AB85" s="356" t="s">
        <v>197</v>
      </c>
      <c r="AC85" s="357"/>
      <c r="AD85" s="357"/>
      <c r="AE85" s="357"/>
      <c r="AF85" s="357"/>
      <c r="AG85" s="285"/>
      <c r="AH85" s="286"/>
      <c r="AM85" s="67"/>
    </row>
    <row r="86" spans="1:39" ht="12" customHeight="1" x14ac:dyDescent="0.15">
      <c r="A86" s="66"/>
      <c r="B86" s="354">
        <f t="shared" si="2"/>
        <v>5</v>
      </c>
      <c r="C86" s="355"/>
      <c r="D86" s="123" t="s">
        <v>181</v>
      </c>
      <c r="E86" s="124"/>
      <c r="F86" s="124"/>
      <c r="G86" s="124"/>
      <c r="H86" s="124"/>
      <c r="I86" s="124"/>
      <c r="J86" s="125"/>
      <c r="K86" s="125"/>
      <c r="L86" s="126"/>
      <c r="M86" s="287" t="s">
        <v>199</v>
      </c>
      <c r="N86" s="285"/>
      <c r="O86" s="285"/>
      <c r="P86" s="285"/>
      <c r="Q86" s="285"/>
      <c r="R86" s="356" t="s">
        <v>18</v>
      </c>
      <c r="S86" s="357"/>
      <c r="T86" s="357"/>
      <c r="U86" s="357"/>
      <c r="V86" s="358"/>
      <c r="W86" s="343" t="s">
        <v>18</v>
      </c>
      <c r="X86" s="344"/>
      <c r="Y86" s="344"/>
      <c r="Z86" s="344"/>
      <c r="AA86" s="344"/>
      <c r="AB86" s="356" t="s">
        <v>198</v>
      </c>
      <c r="AC86" s="357"/>
      <c r="AD86" s="357"/>
      <c r="AE86" s="357"/>
      <c r="AF86" s="357"/>
      <c r="AG86" s="285"/>
      <c r="AH86" s="286"/>
      <c r="AM86" s="67"/>
    </row>
    <row r="87" spans="1:39" ht="12" customHeight="1" x14ac:dyDescent="0.15">
      <c r="A87" s="66"/>
      <c r="B87" s="354" t="str">
        <f t="shared" si="2"/>
        <v/>
      </c>
      <c r="C87" s="355"/>
      <c r="D87" s="390"/>
      <c r="E87" s="392"/>
      <c r="F87" s="392"/>
      <c r="G87" s="392"/>
      <c r="H87" s="392"/>
      <c r="I87" s="392"/>
      <c r="J87" s="285"/>
      <c r="K87" s="285"/>
      <c r="L87" s="286"/>
      <c r="M87" s="400"/>
      <c r="N87" s="285"/>
      <c r="O87" s="285"/>
      <c r="P87" s="285"/>
      <c r="Q87" s="285"/>
      <c r="R87" s="390" t="s">
        <v>18</v>
      </c>
      <c r="S87" s="391"/>
      <c r="T87" s="391"/>
      <c r="U87" s="391"/>
      <c r="V87" s="398"/>
      <c r="W87" s="400"/>
      <c r="X87" s="403"/>
      <c r="Y87" s="403"/>
      <c r="Z87" s="403"/>
      <c r="AA87" s="404"/>
      <c r="AB87" s="390"/>
      <c r="AC87" s="391"/>
      <c r="AD87" s="391"/>
      <c r="AE87" s="391"/>
      <c r="AF87" s="391"/>
      <c r="AG87" s="285"/>
      <c r="AH87" s="286"/>
      <c r="AM87" s="67"/>
    </row>
    <row r="88" spans="1:39" ht="12" customHeight="1" x14ac:dyDescent="0.15">
      <c r="A88" s="66"/>
      <c r="B88" s="354" t="str">
        <f t="shared" si="2"/>
        <v/>
      </c>
      <c r="C88" s="355"/>
      <c r="D88" s="390"/>
      <c r="E88" s="392"/>
      <c r="F88" s="392"/>
      <c r="G88" s="392"/>
      <c r="H88" s="392"/>
      <c r="I88" s="392"/>
      <c r="J88" s="285"/>
      <c r="K88" s="285"/>
      <c r="L88" s="286"/>
      <c r="M88" s="400"/>
      <c r="N88" s="285"/>
      <c r="O88" s="285"/>
      <c r="P88" s="285"/>
      <c r="Q88" s="285"/>
      <c r="R88" s="390" t="s">
        <v>18</v>
      </c>
      <c r="S88" s="391"/>
      <c r="T88" s="391"/>
      <c r="U88" s="391"/>
      <c r="V88" s="398"/>
      <c r="W88" s="400"/>
      <c r="X88" s="403"/>
      <c r="Y88" s="403"/>
      <c r="Z88" s="403"/>
      <c r="AA88" s="404"/>
      <c r="AB88" s="390"/>
      <c r="AC88" s="391"/>
      <c r="AD88" s="391"/>
      <c r="AE88" s="391"/>
      <c r="AF88" s="391"/>
      <c r="AG88" s="285"/>
      <c r="AH88" s="286"/>
      <c r="AM88" s="67"/>
    </row>
    <row r="89" spans="1:39" ht="12" customHeight="1" x14ac:dyDescent="0.15">
      <c r="A89" s="66"/>
      <c r="B89" s="354" t="str">
        <f t="shared" si="2"/>
        <v/>
      </c>
      <c r="C89" s="355"/>
      <c r="D89" s="390"/>
      <c r="E89" s="392"/>
      <c r="F89" s="392"/>
      <c r="G89" s="392"/>
      <c r="H89" s="392"/>
      <c r="I89" s="392"/>
      <c r="J89" s="285"/>
      <c r="K89" s="285"/>
      <c r="L89" s="286"/>
      <c r="M89" s="400"/>
      <c r="N89" s="285"/>
      <c r="O89" s="285"/>
      <c r="P89" s="285"/>
      <c r="Q89" s="285"/>
      <c r="R89" s="390" t="s">
        <v>18</v>
      </c>
      <c r="S89" s="391"/>
      <c r="T89" s="391"/>
      <c r="U89" s="391"/>
      <c r="V89" s="398"/>
      <c r="W89" s="400"/>
      <c r="X89" s="403"/>
      <c r="Y89" s="403"/>
      <c r="Z89" s="403"/>
      <c r="AA89" s="404"/>
      <c r="AB89" s="390"/>
      <c r="AC89" s="391"/>
      <c r="AD89" s="391"/>
      <c r="AE89" s="391"/>
      <c r="AF89" s="391"/>
      <c r="AG89" s="285"/>
      <c r="AH89" s="286"/>
      <c r="AM89" s="67"/>
    </row>
    <row r="90" spans="1:39" ht="12" customHeight="1" x14ac:dyDescent="0.15">
      <c r="A90" s="66"/>
      <c r="B90" s="354" t="str">
        <f t="shared" si="2"/>
        <v/>
      </c>
      <c r="C90" s="355"/>
      <c r="D90" s="390"/>
      <c r="E90" s="392"/>
      <c r="F90" s="392"/>
      <c r="G90" s="392"/>
      <c r="H90" s="392"/>
      <c r="I90" s="392"/>
      <c r="J90" s="285"/>
      <c r="K90" s="285"/>
      <c r="L90" s="286"/>
      <c r="M90" s="400"/>
      <c r="N90" s="285"/>
      <c r="O90" s="285"/>
      <c r="P90" s="285"/>
      <c r="Q90" s="285"/>
      <c r="R90" s="390" t="s">
        <v>18</v>
      </c>
      <c r="S90" s="391"/>
      <c r="T90" s="391"/>
      <c r="U90" s="391"/>
      <c r="V90" s="398"/>
      <c r="W90" s="400"/>
      <c r="X90" s="403"/>
      <c r="Y90" s="403"/>
      <c r="Z90" s="403"/>
      <c r="AA90" s="404"/>
      <c r="AB90" s="390"/>
      <c r="AC90" s="391"/>
      <c r="AD90" s="391"/>
      <c r="AE90" s="391"/>
      <c r="AF90" s="391"/>
      <c r="AG90" s="285"/>
      <c r="AH90" s="286"/>
      <c r="AM90" s="67"/>
    </row>
    <row r="91" spans="1:39" ht="12" customHeight="1" x14ac:dyDescent="0.15">
      <c r="A91" s="66"/>
      <c r="B91" s="354" t="str">
        <f t="shared" si="2"/>
        <v/>
      </c>
      <c r="C91" s="355"/>
      <c r="D91" s="390"/>
      <c r="E91" s="392"/>
      <c r="F91" s="392"/>
      <c r="G91" s="392"/>
      <c r="H91" s="392"/>
      <c r="I91" s="392"/>
      <c r="J91" s="285"/>
      <c r="K91" s="285"/>
      <c r="L91" s="286"/>
      <c r="M91" s="400"/>
      <c r="N91" s="285"/>
      <c r="O91" s="285"/>
      <c r="P91" s="285"/>
      <c r="Q91" s="285"/>
      <c r="R91" s="390" t="s">
        <v>18</v>
      </c>
      <c r="S91" s="391"/>
      <c r="T91" s="391"/>
      <c r="U91" s="391"/>
      <c r="V91" s="398"/>
      <c r="W91" s="400"/>
      <c r="X91" s="403"/>
      <c r="Y91" s="403"/>
      <c r="Z91" s="403"/>
      <c r="AA91" s="404"/>
      <c r="AB91" s="390"/>
      <c r="AC91" s="391"/>
      <c r="AD91" s="391"/>
      <c r="AE91" s="391"/>
      <c r="AF91" s="391"/>
      <c r="AG91" s="285"/>
      <c r="AH91" s="286"/>
      <c r="AM91" s="67"/>
    </row>
    <row r="92" spans="1:39" ht="12" customHeight="1" x14ac:dyDescent="0.15">
      <c r="A92" s="66"/>
      <c r="B92" s="354" t="str">
        <f t="shared" si="2"/>
        <v/>
      </c>
      <c r="C92" s="355"/>
      <c r="D92" s="390"/>
      <c r="E92" s="392"/>
      <c r="F92" s="392"/>
      <c r="G92" s="392"/>
      <c r="H92" s="392"/>
      <c r="I92" s="392"/>
      <c r="J92" s="285"/>
      <c r="K92" s="285"/>
      <c r="L92" s="286"/>
      <c r="M92" s="400"/>
      <c r="N92" s="285"/>
      <c r="O92" s="285"/>
      <c r="P92" s="285"/>
      <c r="Q92" s="285"/>
      <c r="R92" s="390" t="s">
        <v>18</v>
      </c>
      <c r="S92" s="391"/>
      <c r="T92" s="391"/>
      <c r="U92" s="391"/>
      <c r="V92" s="398"/>
      <c r="W92" s="400"/>
      <c r="X92" s="403"/>
      <c r="Y92" s="403"/>
      <c r="Z92" s="403"/>
      <c r="AA92" s="404"/>
      <c r="AB92" s="390"/>
      <c r="AC92" s="391"/>
      <c r="AD92" s="391"/>
      <c r="AE92" s="391"/>
      <c r="AF92" s="391"/>
      <c r="AG92" s="285"/>
      <c r="AH92" s="286"/>
      <c r="AM92" s="67"/>
    </row>
    <row r="93" spans="1:39" ht="12" customHeight="1" x14ac:dyDescent="0.15">
      <c r="A93" s="66"/>
      <c r="B93" s="120">
        <v>-2</v>
      </c>
      <c r="C93" s="120">
        <v>-1</v>
      </c>
      <c r="D93" s="120">
        <v>0</v>
      </c>
      <c r="E93" s="120">
        <v>1</v>
      </c>
      <c r="F93" s="120">
        <v>2</v>
      </c>
      <c r="G93" s="120">
        <v>3</v>
      </c>
      <c r="H93" s="120">
        <v>4</v>
      </c>
      <c r="I93" s="120">
        <v>5</v>
      </c>
      <c r="J93" s="120">
        <v>6</v>
      </c>
      <c r="K93" s="120">
        <v>7</v>
      </c>
      <c r="L93" s="120">
        <v>8</v>
      </c>
      <c r="M93" s="120">
        <v>9</v>
      </c>
      <c r="N93" s="120">
        <v>10</v>
      </c>
      <c r="O93" s="120">
        <v>11</v>
      </c>
      <c r="P93" s="120">
        <v>12</v>
      </c>
      <c r="Q93" s="120">
        <v>13</v>
      </c>
      <c r="R93" s="120">
        <v>14</v>
      </c>
      <c r="S93" s="120">
        <v>15</v>
      </c>
      <c r="T93" s="120">
        <v>16</v>
      </c>
      <c r="U93" s="120">
        <v>17</v>
      </c>
      <c r="V93" s="120">
        <v>18</v>
      </c>
      <c r="W93" s="120">
        <v>19</v>
      </c>
      <c r="X93" s="120">
        <v>20</v>
      </c>
      <c r="Y93" s="121">
        <v>21</v>
      </c>
      <c r="Z93" s="121">
        <v>22</v>
      </c>
      <c r="AA93" s="121">
        <v>23</v>
      </c>
      <c r="AB93" s="121">
        <v>24</v>
      </c>
      <c r="AC93" s="121">
        <v>25</v>
      </c>
      <c r="AD93" s="121">
        <v>26</v>
      </c>
      <c r="AE93" s="120">
        <v>27</v>
      </c>
      <c r="AF93" s="120">
        <v>28</v>
      </c>
      <c r="AG93" s="120">
        <v>29</v>
      </c>
      <c r="AH93" s="120">
        <v>30</v>
      </c>
      <c r="AM93" s="67"/>
    </row>
    <row r="94" spans="1:39" ht="12" customHeight="1" x14ac:dyDescent="0.15">
      <c r="A94" s="66"/>
      <c r="AM94" s="67"/>
    </row>
    <row r="95" spans="1:39" ht="12" customHeight="1" x14ac:dyDescent="0.15">
      <c r="A95" s="66"/>
      <c r="AM95" s="67"/>
    </row>
    <row r="96" spans="1:39" ht="12" customHeight="1" x14ac:dyDescent="0.15">
      <c r="A96" s="66"/>
      <c r="AM96" s="67"/>
    </row>
    <row r="97" spans="1:39" ht="12" customHeight="1" x14ac:dyDescent="0.15">
      <c r="A97" s="66"/>
      <c r="AM97" s="67"/>
    </row>
    <row r="98" spans="1:39" ht="12" customHeight="1" x14ac:dyDescent="0.15">
      <c r="A98" s="66"/>
      <c r="AM98" s="67"/>
    </row>
    <row r="99" spans="1:39" ht="12" customHeight="1" x14ac:dyDescent="0.15">
      <c r="A99" s="66"/>
      <c r="AM99" s="67"/>
    </row>
    <row r="100" spans="1:39" ht="12" customHeight="1" x14ac:dyDescent="0.15">
      <c r="A100" s="66"/>
      <c r="AM100" s="67"/>
    </row>
    <row r="101" spans="1:39" ht="12" customHeight="1" x14ac:dyDescent="0.15">
      <c r="A101" s="66"/>
      <c r="AM101" s="67"/>
    </row>
    <row r="102" spans="1:39" ht="12" customHeight="1" x14ac:dyDescent="0.15">
      <c r="A102" s="66"/>
      <c r="AM102" s="67"/>
    </row>
    <row r="103" spans="1:39" ht="12" customHeight="1" x14ac:dyDescent="0.15">
      <c r="A103" s="66"/>
      <c r="AM103" s="67"/>
    </row>
    <row r="104" spans="1:39" ht="12" customHeight="1" x14ac:dyDescent="0.15">
      <c r="A104" s="66"/>
      <c r="AM104" s="67"/>
    </row>
    <row r="105" spans="1:39" ht="12" customHeight="1" x14ac:dyDescent="0.15">
      <c r="A105" s="66"/>
      <c r="AM105" s="67"/>
    </row>
    <row r="106" spans="1:39" ht="12" customHeight="1" x14ac:dyDescent="0.15">
      <c r="A106" s="66"/>
      <c r="AM106" s="67"/>
    </row>
    <row r="107" spans="1:39" ht="12" customHeight="1" x14ac:dyDescent="0.15">
      <c r="A107" s="66"/>
      <c r="AM107" s="67"/>
    </row>
    <row r="108" spans="1:39" ht="12" customHeight="1" x14ac:dyDescent="0.15">
      <c r="A108" s="66"/>
      <c r="AM108" s="67"/>
    </row>
    <row r="109" spans="1:39" ht="12" customHeight="1" x14ac:dyDescent="0.15">
      <c r="A109" s="66"/>
      <c r="AM109" s="67"/>
    </row>
    <row r="110" spans="1:39" ht="12" customHeight="1" x14ac:dyDescent="0.15">
      <c r="A110" s="66"/>
      <c r="AM110" s="67"/>
    </row>
    <row r="111" spans="1:39" ht="12" customHeight="1" x14ac:dyDescent="0.15">
      <c r="A111" s="66"/>
      <c r="AM111" s="67"/>
    </row>
    <row r="112" spans="1:39" ht="12" customHeight="1" x14ac:dyDescent="0.15">
      <c r="A112" s="66"/>
      <c r="AM112" s="67"/>
    </row>
    <row r="113" spans="1:39" ht="12" customHeight="1" x14ac:dyDescent="0.15">
      <c r="A113" s="66"/>
      <c r="AM113" s="67"/>
    </row>
    <row r="114" spans="1:39" ht="12" customHeight="1" x14ac:dyDescent="0.15">
      <c r="A114" s="66"/>
      <c r="AM114" s="67"/>
    </row>
    <row r="115" spans="1:39" ht="12" customHeight="1" x14ac:dyDescent="0.15">
      <c r="A115" s="66"/>
      <c r="AM115" s="67"/>
    </row>
    <row r="116" spans="1:39" ht="12" customHeight="1" x14ac:dyDescent="0.15">
      <c r="A116" s="66"/>
      <c r="AM116" s="67"/>
    </row>
    <row r="117" spans="1:39" ht="12" customHeight="1" x14ac:dyDescent="0.15">
      <c r="A117" s="66"/>
      <c r="AM117" s="67"/>
    </row>
    <row r="118" spans="1:39" ht="12" customHeight="1" x14ac:dyDescent="0.15">
      <c r="A118" s="71"/>
      <c r="B118" s="72"/>
      <c r="C118" s="72"/>
      <c r="D118" s="72"/>
      <c r="E118" s="72"/>
      <c r="F118" s="72"/>
      <c r="G118" s="72"/>
      <c r="H118" s="72"/>
      <c r="I118" s="72"/>
      <c r="J118" s="72"/>
      <c r="K118" s="72"/>
      <c r="L118" s="72"/>
      <c r="M118" s="72"/>
      <c r="N118" s="72"/>
      <c r="O118" s="72"/>
      <c r="P118" s="72"/>
      <c r="Q118" s="72"/>
      <c r="R118" s="72"/>
      <c r="S118" s="72"/>
      <c r="T118" s="72"/>
      <c r="U118" s="72"/>
      <c r="V118" s="72"/>
      <c r="W118" s="72"/>
      <c r="X118" s="72"/>
      <c r="Y118" s="72"/>
      <c r="Z118" s="72"/>
      <c r="AA118" s="72"/>
      <c r="AB118" s="72"/>
      <c r="AC118" s="72"/>
      <c r="AD118" s="72"/>
      <c r="AE118" s="72"/>
      <c r="AF118" s="72"/>
      <c r="AG118" s="72"/>
      <c r="AH118" s="72"/>
      <c r="AI118" s="72"/>
      <c r="AJ118" s="72"/>
      <c r="AK118" s="72"/>
      <c r="AL118" s="72"/>
      <c r="AM118" s="73"/>
    </row>
  </sheetData>
  <mergeCells count="319">
    <mergeCell ref="BP62:BT62"/>
    <mergeCell ref="BP60:BT60"/>
    <mergeCell ref="BP59:BT59"/>
    <mergeCell ref="AB91:AH91"/>
    <mergeCell ref="AB92:AH92"/>
    <mergeCell ref="AB89:AH89"/>
    <mergeCell ref="AB90:AH90"/>
    <mergeCell ref="B91:C91"/>
    <mergeCell ref="R91:V91"/>
    <mergeCell ref="W91:AA91"/>
    <mergeCell ref="B92:C92"/>
    <mergeCell ref="R92:V92"/>
    <mergeCell ref="W92:AA92"/>
    <mergeCell ref="D91:L91"/>
    <mergeCell ref="D92:L92"/>
    <mergeCell ref="M91:Q91"/>
    <mergeCell ref="M92:Q92"/>
    <mergeCell ref="B84:C84"/>
    <mergeCell ref="R84:V84"/>
    <mergeCell ref="W84:AA84"/>
    <mergeCell ref="B89:C89"/>
    <mergeCell ref="R89:V89"/>
    <mergeCell ref="W89:AA89"/>
    <mergeCell ref="B90:C90"/>
    <mergeCell ref="R90:V90"/>
    <mergeCell ref="W90:AA90"/>
    <mergeCell ref="D89:L89"/>
    <mergeCell ref="D90:L90"/>
    <mergeCell ref="M89:Q89"/>
    <mergeCell ref="M90:Q90"/>
    <mergeCell ref="D87:L87"/>
    <mergeCell ref="D83:L83"/>
    <mergeCell ref="M83:Q83"/>
    <mergeCell ref="M84:Q84"/>
    <mergeCell ref="AB87:AH87"/>
    <mergeCell ref="AB88:AH88"/>
    <mergeCell ref="B85:C85"/>
    <mergeCell ref="R85:V85"/>
    <mergeCell ref="W85:AA85"/>
    <mergeCell ref="B86:C86"/>
    <mergeCell ref="R86:V86"/>
    <mergeCell ref="W86:AA86"/>
    <mergeCell ref="M85:Q85"/>
    <mergeCell ref="M86:Q86"/>
    <mergeCell ref="AB85:AH85"/>
    <mergeCell ref="AB86:AH86"/>
    <mergeCell ref="B87:C87"/>
    <mergeCell ref="R87:V87"/>
    <mergeCell ref="W87:AA87"/>
    <mergeCell ref="B88:C88"/>
    <mergeCell ref="R88:V88"/>
    <mergeCell ref="W88:AA88"/>
    <mergeCell ref="D88:L88"/>
    <mergeCell ref="M87:Q87"/>
    <mergeCell ref="M88:Q88"/>
    <mergeCell ref="B76:C76"/>
    <mergeCell ref="M76:S76"/>
    <mergeCell ref="T76:X76"/>
    <mergeCell ref="Y76:AC76"/>
    <mergeCell ref="AD76:AH76"/>
    <mergeCell ref="D75:L75"/>
    <mergeCell ref="D76:L76"/>
    <mergeCell ref="AB83:AH83"/>
    <mergeCell ref="AB84:AH84"/>
    <mergeCell ref="B81:C81"/>
    <mergeCell ref="R81:V81"/>
    <mergeCell ref="W81:AA81"/>
    <mergeCell ref="B82:C82"/>
    <mergeCell ref="R82:V82"/>
    <mergeCell ref="W82:AA82"/>
    <mergeCell ref="D81:L81"/>
    <mergeCell ref="D82:L82"/>
    <mergeCell ref="M81:Q81"/>
    <mergeCell ref="M82:Q82"/>
    <mergeCell ref="AB81:AH81"/>
    <mergeCell ref="AB82:AH82"/>
    <mergeCell ref="B83:C83"/>
    <mergeCell ref="R83:V83"/>
    <mergeCell ref="W83:AA83"/>
    <mergeCell ref="B74:C74"/>
    <mergeCell ref="M74:S74"/>
    <mergeCell ref="T74:X74"/>
    <mergeCell ref="Y74:AC74"/>
    <mergeCell ref="AD74:AH74"/>
    <mergeCell ref="D73:L73"/>
    <mergeCell ref="D74:L74"/>
    <mergeCell ref="B75:C75"/>
    <mergeCell ref="M75:S75"/>
    <mergeCell ref="T75:X75"/>
    <mergeCell ref="Y75:AC75"/>
    <mergeCell ref="AD75:AH75"/>
    <mergeCell ref="B72:C72"/>
    <mergeCell ref="M72:S72"/>
    <mergeCell ref="T72:X72"/>
    <mergeCell ref="Y72:AC72"/>
    <mergeCell ref="AD72:AH72"/>
    <mergeCell ref="D71:L71"/>
    <mergeCell ref="D72:L72"/>
    <mergeCell ref="B73:C73"/>
    <mergeCell ref="M73:S73"/>
    <mergeCell ref="T73:X73"/>
    <mergeCell ref="Y73:AC73"/>
    <mergeCell ref="AD73:AH73"/>
    <mergeCell ref="B70:C70"/>
    <mergeCell ref="M70:S70"/>
    <mergeCell ref="T70:X70"/>
    <mergeCell ref="Y70:AC70"/>
    <mergeCell ref="AD70:AH70"/>
    <mergeCell ref="D69:L69"/>
    <mergeCell ref="D70:L70"/>
    <mergeCell ref="B71:C71"/>
    <mergeCell ref="M71:S71"/>
    <mergeCell ref="T71:X71"/>
    <mergeCell ref="Y71:AC71"/>
    <mergeCell ref="AD71:AH71"/>
    <mergeCell ref="B68:C68"/>
    <mergeCell ref="M68:S68"/>
    <mergeCell ref="T68:X68"/>
    <mergeCell ref="Y68:AC68"/>
    <mergeCell ref="AD68:AH68"/>
    <mergeCell ref="D67:L67"/>
    <mergeCell ref="D68:L68"/>
    <mergeCell ref="B69:C69"/>
    <mergeCell ref="M69:S69"/>
    <mergeCell ref="T69:X69"/>
    <mergeCell ref="Y69:AC69"/>
    <mergeCell ref="AD69:AH69"/>
    <mergeCell ref="AD65:AH65"/>
    <mergeCell ref="B66:C66"/>
    <mergeCell ref="M66:S66"/>
    <mergeCell ref="T66:X66"/>
    <mergeCell ref="Y66:AC66"/>
    <mergeCell ref="AD66:AH66"/>
    <mergeCell ref="D65:L65"/>
    <mergeCell ref="D66:L66"/>
    <mergeCell ref="B67:C67"/>
    <mergeCell ref="M67:S67"/>
    <mergeCell ref="T67:X67"/>
    <mergeCell ref="Y67:AC67"/>
    <mergeCell ref="AD67:AH67"/>
    <mergeCell ref="B54:C54"/>
    <mergeCell ref="B57:C57"/>
    <mergeCell ref="D57:I57"/>
    <mergeCell ref="J57:L57"/>
    <mergeCell ref="T57:X57"/>
    <mergeCell ref="B65:C65"/>
    <mergeCell ref="M65:S65"/>
    <mergeCell ref="T65:X65"/>
    <mergeCell ref="Y65:AC65"/>
    <mergeCell ref="B55:C55"/>
    <mergeCell ref="B59:C59"/>
    <mergeCell ref="D59:I59"/>
    <mergeCell ref="J59:L59"/>
    <mergeCell ref="T59:X59"/>
    <mergeCell ref="B56:C56"/>
    <mergeCell ref="D56:I56"/>
    <mergeCell ref="J56:L56"/>
    <mergeCell ref="M56:S56"/>
    <mergeCell ref="M57:S57"/>
    <mergeCell ref="Y56:AC56"/>
    <mergeCell ref="Y57:AC57"/>
    <mergeCell ref="M55:S55"/>
    <mergeCell ref="Y55:AC55"/>
    <mergeCell ref="D55:I55"/>
    <mergeCell ref="AD59:AH59"/>
    <mergeCell ref="B58:C58"/>
    <mergeCell ref="D58:I58"/>
    <mergeCell ref="J58:L58"/>
    <mergeCell ref="T58:X58"/>
    <mergeCell ref="M58:S58"/>
    <mergeCell ref="M59:S59"/>
    <mergeCell ref="Y58:AC58"/>
    <mergeCell ref="Y59:AC59"/>
    <mergeCell ref="B53:C53"/>
    <mergeCell ref="D53:I53"/>
    <mergeCell ref="J53:L53"/>
    <mergeCell ref="T53:X53"/>
    <mergeCell ref="AD53:AH53"/>
    <mergeCell ref="B52:C52"/>
    <mergeCell ref="D52:I52"/>
    <mergeCell ref="J52:L52"/>
    <mergeCell ref="T52:X52"/>
    <mergeCell ref="M52:S52"/>
    <mergeCell ref="M53:S53"/>
    <mergeCell ref="Y52:AC52"/>
    <mergeCell ref="Y53:AC53"/>
    <mergeCell ref="AD57:AH57"/>
    <mergeCell ref="AO54:AR54"/>
    <mergeCell ref="D54:I54"/>
    <mergeCell ref="J54:L54"/>
    <mergeCell ref="T54:X54"/>
    <mergeCell ref="M54:S54"/>
    <mergeCell ref="AO50:AR50"/>
    <mergeCell ref="AO51:AR51"/>
    <mergeCell ref="AO58:AR58"/>
    <mergeCell ref="AO55:AR55"/>
    <mergeCell ref="AD52:AH52"/>
    <mergeCell ref="AO52:AR52"/>
    <mergeCell ref="AO53:AR53"/>
    <mergeCell ref="AD54:AH54"/>
    <mergeCell ref="Y54:AC54"/>
    <mergeCell ref="J55:L55"/>
    <mergeCell ref="T55:X55"/>
    <mergeCell ref="AO59:AR59"/>
    <mergeCell ref="T56:X56"/>
    <mergeCell ref="AD56:AH56"/>
    <mergeCell ref="AD58:AH58"/>
    <mergeCell ref="AO56:AR56"/>
    <mergeCell ref="AO57:AR57"/>
    <mergeCell ref="AD55:AH55"/>
    <mergeCell ref="J50:L50"/>
    <mergeCell ref="B51:C51"/>
    <mergeCell ref="D51:I51"/>
    <mergeCell ref="J51:L51"/>
    <mergeCell ref="T51:X51"/>
    <mergeCell ref="AD51:AH51"/>
    <mergeCell ref="B50:C50"/>
    <mergeCell ref="D50:I50"/>
    <mergeCell ref="M51:S51"/>
    <mergeCell ref="Y50:AC50"/>
    <mergeCell ref="Y51:AC51"/>
    <mergeCell ref="AI54:AL54"/>
    <mergeCell ref="AI55:AL55"/>
    <mergeCell ref="AI56:AL56"/>
    <mergeCell ref="AI57:AL57"/>
    <mergeCell ref="AI58:AL58"/>
    <mergeCell ref="AI59:AL59"/>
    <mergeCell ref="AD48:AH48"/>
    <mergeCell ref="T48:X48"/>
    <mergeCell ref="B49:C49"/>
    <mergeCell ref="D49:I49"/>
    <mergeCell ref="J49:L49"/>
    <mergeCell ref="T49:X49"/>
    <mergeCell ref="AD49:AH49"/>
    <mergeCell ref="B48:C48"/>
    <mergeCell ref="D48:I48"/>
    <mergeCell ref="J48:L48"/>
    <mergeCell ref="M48:S48"/>
    <mergeCell ref="M49:S49"/>
    <mergeCell ref="Y48:AC48"/>
    <mergeCell ref="AJ4:AM4"/>
    <mergeCell ref="X32:AB32"/>
    <mergeCell ref="X34:AB34"/>
    <mergeCell ref="AC1:AE1"/>
    <mergeCell ref="AF1:AM1"/>
    <mergeCell ref="AJ2:AM2"/>
    <mergeCell ref="AJ3:AM3"/>
    <mergeCell ref="X17:AB17"/>
    <mergeCell ref="X11:AB11"/>
    <mergeCell ref="X12:AB12"/>
    <mergeCell ref="X13:AB13"/>
    <mergeCell ref="X15:AB15"/>
    <mergeCell ref="X16:AB16"/>
    <mergeCell ref="X18:AB18"/>
    <mergeCell ref="X25:AB25"/>
    <mergeCell ref="AF2:AI2"/>
    <mergeCell ref="X20:AB20"/>
    <mergeCell ref="X21:AB21"/>
    <mergeCell ref="X23:AB23"/>
    <mergeCell ref="X24:AB24"/>
    <mergeCell ref="X19:AB19"/>
    <mergeCell ref="X22:AB22"/>
    <mergeCell ref="K8:O8"/>
    <mergeCell ref="T50:X50"/>
    <mergeCell ref="M50:S50"/>
    <mergeCell ref="B3:E3"/>
    <mergeCell ref="G3:X3"/>
    <mergeCell ref="Y3:AA3"/>
    <mergeCell ref="AC3:AE3"/>
    <mergeCell ref="AF3:AI3"/>
    <mergeCell ref="B1:E1"/>
    <mergeCell ref="G1:X1"/>
    <mergeCell ref="Y1:AA1"/>
    <mergeCell ref="B4:E4"/>
    <mergeCell ref="G4:X4"/>
    <mergeCell ref="Y4:AE4"/>
    <mergeCell ref="B2:E2"/>
    <mergeCell ref="G2:X2"/>
    <mergeCell ref="Y2:AA2"/>
    <mergeCell ref="AC2:AE2"/>
    <mergeCell ref="AF4:AI4"/>
    <mergeCell ref="Y49:AC49"/>
    <mergeCell ref="AD50:AH50"/>
    <mergeCell ref="G46:L46"/>
    <mergeCell ref="D8:H8"/>
    <mergeCell ref="R8:V8"/>
    <mergeCell ref="X44:AB44"/>
    <mergeCell ref="X43:AB43"/>
    <mergeCell ref="X38:AB38"/>
    <mergeCell ref="X39:AB39"/>
    <mergeCell ref="X40:AB40"/>
    <mergeCell ref="X26:AB26"/>
    <mergeCell ref="X27:AB27"/>
    <mergeCell ref="X28:AB28"/>
    <mergeCell ref="X33:AB33"/>
    <mergeCell ref="X41:AB41"/>
    <mergeCell ref="X29:AB29"/>
    <mergeCell ref="X30:AB30"/>
    <mergeCell ref="X31:AB31"/>
    <mergeCell ref="X36:AB36"/>
    <mergeCell ref="X37:AB37"/>
    <mergeCell ref="BP51:BT51"/>
    <mergeCell ref="BP52:BT52"/>
    <mergeCell ref="BP58:BT58"/>
    <mergeCell ref="AI48:AL48"/>
    <mergeCell ref="AI49:AL49"/>
    <mergeCell ref="AI50:AL50"/>
    <mergeCell ref="AI51:AL51"/>
    <mergeCell ref="AI52:AL52"/>
    <mergeCell ref="AI53:AL53"/>
    <mergeCell ref="AO48:AR48"/>
    <mergeCell ref="AO49:AR49"/>
    <mergeCell ref="BD48:BH48"/>
    <mergeCell ref="BD49:BH49"/>
    <mergeCell ref="BP53:BT53"/>
    <mergeCell ref="BP54:BT54"/>
    <mergeCell ref="BP56:BT56"/>
    <mergeCell ref="BP57:BT57"/>
    <mergeCell ref="BP55:BT55"/>
  </mergeCells>
  <dataValidations count="19">
    <dataValidation type="whole" allowBlank="1" showInputMessage="1" showErrorMessage="1" errorTitle="Invalid entry" error="Value shall be between 30° and 60°." sqref="X12:AB12">
      <formula1>30</formula1>
      <formula2>60</formula2>
    </dataValidation>
    <dataValidation type="decimal" allowBlank="1" showInputMessage="1" showErrorMessage="1" errorTitle="Invalid entry" error="The value shall be between -179° to 180°." sqref="X13:AB13">
      <formula1>-179</formula1>
      <formula2>180</formula2>
    </dataValidation>
    <dataValidation type="whole" allowBlank="1" showInputMessage="1" showErrorMessage="1" errorTitle="Invalid entry" error="The value shall be between 8 and 40 and use only even numbers." sqref="X15:AB15">
      <formula1>8</formula1>
      <formula2>40</formula2>
    </dataValidation>
    <dataValidation type="whole" allowBlank="1" showInputMessage="1" showErrorMessage="1" errorTitle="Invalid Entry" error="The value shall be between 1 and 10." sqref="X16:AB16">
      <formula1>1</formula1>
      <formula2>10</formula2>
    </dataValidation>
    <dataValidation type="decimal" operator="greaterThanOrEqual" allowBlank="1" showInputMessage="1" showErrorMessage="1" errorTitle="Invalid entry" error="This value shall be greater than or equal to zero." sqref="X29:AB30 X23:AB24 X17:AB20 BP52:BT60">
      <formula1>0</formula1>
    </dataValidation>
    <dataValidation type="decimal" operator="greaterThan" allowBlank="1" showInputMessage="1" showErrorMessage="1" errorTitle="Invalid entry" error="This value shall be greater than or equal to zero." sqref="X21:AB22">
      <formula1>0</formula1>
    </dataValidation>
    <dataValidation type="decimal" operator="greaterThan" allowBlank="1" showInputMessage="1" showErrorMessage="1" errorTitle="Invalid entry" error="This value shall be greater than zero." sqref="X25:AB25 X27:AB27 X36:AB40">
      <formula1>0</formula1>
    </dataValidation>
    <dataValidation type="decimal" allowBlank="1" showInputMessage="1" showErrorMessage="1" errorTitle="Invalid entry" error="This value shall be greater than or equal 1 and less than or equal to 4." sqref="X43:AB43">
      <formula1>1</formula1>
      <formula2>4</formula2>
    </dataValidation>
    <dataValidation type="decimal" allowBlank="1" showInputMessage="1" showErrorMessage="1" errorTitle="Not an optimum value for Plate" error="This value shall be greater than or equal 0.2 and less than or equal to 0.5." sqref="X44:AB44">
      <formula1>0.2</formula1>
      <formula2>0.5</formula2>
    </dataValidation>
    <dataValidation type="list" allowBlank="1" showInputMessage="1" showErrorMessage="1" sqref="G46:K46">
      <formula1>"User Defined,Program Generated"</formula1>
    </dataValidation>
    <dataValidation type="list" allowBlank="1" showInputMessage="1" showErrorMessage="1" sqref="AD49:AH59 T49:X59">
      <formula1>"Yes,No"</formula1>
    </dataValidation>
    <dataValidation type="list" allowBlank="1" showInputMessage="1" showErrorMessage="1" sqref="Y49:AC59 AI49:AI59">
      <formula1>"Continuous,Alternate,Skip 2 Bays,Skip 3 Bays,Skip 4 Bays"</formula1>
    </dataValidation>
    <dataValidation type="list" allowBlank="1" showInputMessage="1" showErrorMessage="1" sqref="AO49:AR59">
      <formula1>$BP$6:$BP$44</formula1>
    </dataValidation>
    <dataValidation type="list" allowBlank="1" showInputMessage="1" showErrorMessage="1" sqref="R82:V82">
      <formula1>"I Sections,C Sections,L Sections,CHS Sections,RHS Sections,SHS Sections,Solid"</formula1>
    </dataValidation>
    <dataValidation type="list" allowBlank="1" showInputMessage="1" showErrorMessage="1" sqref="R83:V92">
      <formula1>"I Sections,C Sections,L Sections,CHS Sections,RHS Sections,SHS Sections"</formula1>
    </dataValidation>
    <dataValidation type="list" allowBlank="1" showInputMessage="1" showErrorMessage="1" sqref="M66:S70">
      <formula1>"IS800-2007,IS2062,ASTM,EN10025-2-T7,EN10025-2-T8,EN10025-3,EN10025-4,EN10025-5,GBT1591-1994,GBT1591-2008"</formula1>
    </dataValidation>
    <dataValidation type="list" allowBlank="1" showInputMessage="1" showErrorMessage="1" sqref="M83:Q86">
      <formula1>"Indian,Japanese,European,Russian,US Metric,US Imperial,Chilean,British,Australian,Chinese"</formula1>
    </dataValidation>
    <dataValidation type="whole" allowBlank="1" showInputMessage="1" showErrorMessage="1" errorTitle="Invalid user input data" error="The value shall be between 3 and (3 times the number of radial beams)" sqref="X34:AB34">
      <formula1>3</formula1>
      <formula2>3*X15</formula2>
    </dataValidation>
    <dataValidation type="list" operator="greaterThanOrEqual" allowBlank="1" showInputMessage="1" showErrorMessage="1" errorTitle="Invalid entry" error="This value shall be greater than or equal to zero." sqref="BP62:BT62">
      <formula1>"Full Span,Half Span"</formula1>
    </dataValidation>
  </dataValidations>
  <printOptions horizontalCentered="1"/>
  <pageMargins left="0.31496062992125984" right="0.31496062992125984" top="0.55118110236220474" bottom="0.55118110236220474" header="0.31496062992125984" footer="0.31496062992125984"/>
  <pageSetup paperSize="9" fitToHeight="0" orientation="portrait" useFirstPageNumber="1" r:id="rId1"/>
  <headerFooter>
    <oddHeader>&amp;L&amp;"Tahoma,Regular"&amp;8&amp;K03+000User: Srinivasa Rao Masanam</oddHeader>
    <oddFooter>&amp;R&amp;"Tahoma,Regular"&amp;8&amp;K03+000Licensed to: VSquare Consulting Engineers</oddFooter>
  </headerFooter>
  <ignoredErrors>
    <ignoredError sqref="AO39:AO40" numberStoredAsText="1"/>
  </ignoredErrors>
  <drawing r:id="rId2"/>
  <legacyDrawing r:id="rId3"/>
  <controls>
    <mc:AlternateContent xmlns:mc="http://schemas.openxmlformats.org/markup-compatibility/2006">
      <mc:Choice Requires="x14">
        <control shapeId="3127" r:id="rId4" name="radCustomCC">
          <controlPr autoLine="0" r:id="rId5">
            <anchor moveWithCells="1">
              <from>
                <xdr:col>32</xdr:col>
                <xdr:colOff>85725</xdr:colOff>
                <xdr:row>31</xdr:row>
                <xdr:rowOff>76200</xdr:rowOff>
              </from>
              <to>
                <xdr:col>35</xdr:col>
                <xdr:colOff>114300</xdr:colOff>
                <xdr:row>33</xdr:row>
                <xdr:rowOff>0</xdr:rowOff>
              </to>
            </anchor>
          </controlPr>
        </control>
      </mc:Choice>
      <mc:Fallback>
        <control shapeId="3127" r:id="rId4" name="radCustomCC"/>
      </mc:Fallback>
    </mc:AlternateContent>
    <mc:AlternateContent xmlns:mc="http://schemas.openxmlformats.org/markup-compatibility/2006">
      <mc:Choice Requires="x14">
        <control shapeId="3126" r:id="rId6" name="radPinnedCC">
          <controlPr autoLine="0" r:id="rId7">
            <anchor moveWithCells="1">
              <from>
                <xdr:col>29</xdr:col>
                <xdr:colOff>66675</xdr:colOff>
                <xdr:row>31</xdr:row>
                <xdr:rowOff>76200</xdr:rowOff>
              </from>
              <to>
                <xdr:col>32</xdr:col>
                <xdr:colOff>95250</xdr:colOff>
                <xdr:row>33</xdr:row>
                <xdr:rowOff>0</xdr:rowOff>
              </to>
            </anchor>
          </controlPr>
        </control>
      </mc:Choice>
      <mc:Fallback>
        <control shapeId="3126" r:id="rId6" name="radPinnedCC"/>
      </mc:Fallback>
    </mc:AlternateContent>
    <mc:AlternateContent xmlns:mc="http://schemas.openxmlformats.org/markup-compatibility/2006">
      <mc:Choice Requires="x14">
        <control shapeId="3123" r:id="rId8" name="ckbRzCC">
          <controlPr disabled="1" autoLine="0" r:id="rId9">
            <anchor moveWithCells="1">
              <from>
                <xdr:col>34</xdr:col>
                <xdr:colOff>114300</xdr:colOff>
                <xdr:row>35</xdr:row>
                <xdr:rowOff>9525</xdr:rowOff>
              </from>
              <to>
                <xdr:col>36</xdr:col>
                <xdr:colOff>133350</xdr:colOff>
                <xdr:row>36</xdr:row>
                <xdr:rowOff>85725</xdr:rowOff>
              </to>
            </anchor>
          </controlPr>
        </control>
      </mc:Choice>
      <mc:Fallback>
        <control shapeId="3123" r:id="rId8" name="ckbRzCC"/>
      </mc:Fallback>
    </mc:AlternateContent>
    <mc:AlternateContent xmlns:mc="http://schemas.openxmlformats.org/markup-compatibility/2006">
      <mc:Choice Requires="x14">
        <control shapeId="3122" r:id="rId10" name="ckbRyCC">
          <controlPr disabled="1" autoLine="0" r:id="rId11">
            <anchor moveWithCells="1">
              <from>
                <xdr:col>32</xdr:col>
                <xdr:colOff>9525</xdr:colOff>
                <xdr:row>35</xdr:row>
                <xdr:rowOff>9525</xdr:rowOff>
              </from>
              <to>
                <xdr:col>34</xdr:col>
                <xdr:colOff>28575</xdr:colOff>
                <xdr:row>36</xdr:row>
                <xdr:rowOff>85725</xdr:rowOff>
              </to>
            </anchor>
          </controlPr>
        </control>
      </mc:Choice>
      <mc:Fallback>
        <control shapeId="3122" r:id="rId10" name="ckbRyCC"/>
      </mc:Fallback>
    </mc:AlternateContent>
    <mc:AlternateContent xmlns:mc="http://schemas.openxmlformats.org/markup-compatibility/2006">
      <mc:Choice Requires="x14">
        <control shapeId="3121" r:id="rId12" name="ckbRxCC">
          <controlPr disabled="1" autoLine="0" r:id="rId13">
            <anchor moveWithCells="1">
              <from>
                <xdr:col>29</xdr:col>
                <xdr:colOff>76200</xdr:colOff>
                <xdr:row>35</xdr:row>
                <xdr:rowOff>9525</xdr:rowOff>
              </from>
              <to>
                <xdr:col>31</xdr:col>
                <xdr:colOff>95250</xdr:colOff>
                <xdr:row>36</xdr:row>
                <xdr:rowOff>85725</xdr:rowOff>
              </to>
            </anchor>
          </controlPr>
        </control>
      </mc:Choice>
      <mc:Fallback>
        <control shapeId="3121" r:id="rId12" name="ckbRxCC"/>
      </mc:Fallback>
    </mc:AlternateContent>
    <mc:AlternateContent xmlns:mc="http://schemas.openxmlformats.org/markup-compatibility/2006">
      <mc:Choice Requires="x14">
        <control shapeId="3120" r:id="rId14" name="ckbTzCC">
          <controlPr disabled="1" autoLine="0" r:id="rId15">
            <anchor moveWithCells="1">
              <from>
                <xdr:col>34</xdr:col>
                <xdr:colOff>114300</xdr:colOff>
                <xdr:row>33</xdr:row>
                <xdr:rowOff>85725</xdr:rowOff>
              </from>
              <to>
                <xdr:col>36</xdr:col>
                <xdr:colOff>133350</xdr:colOff>
                <xdr:row>35</xdr:row>
                <xdr:rowOff>9525</xdr:rowOff>
              </to>
            </anchor>
          </controlPr>
        </control>
      </mc:Choice>
      <mc:Fallback>
        <control shapeId="3120" r:id="rId14" name="ckbTzCC"/>
      </mc:Fallback>
    </mc:AlternateContent>
    <mc:AlternateContent xmlns:mc="http://schemas.openxmlformats.org/markup-compatibility/2006">
      <mc:Choice Requires="x14">
        <control shapeId="3119" r:id="rId16" name="ckbTyCC">
          <controlPr disabled="1" autoLine="0" r:id="rId17">
            <anchor moveWithCells="1">
              <from>
                <xdr:col>32</xdr:col>
                <xdr:colOff>0</xdr:colOff>
                <xdr:row>33</xdr:row>
                <xdr:rowOff>85725</xdr:rowOff>
              </from>
              <to>
                <xdr:col>34</xdr:col>
                <xdr:colOff>19050</xdr:colOff>
                <xdr:row>35</xdr:row>
                <xdr:rowOff>9525</xdr:rowOff>
              </to>
            </anchor>
          </controlPr>
        </control>
      </mc:Choice>
      <mc:Fallback>
        <control shapeId="3119" r:id="rId16" name="ckbTyCC"/>
      </mc:Fallback>
    </mc:AlternateContent>
    <mc:AlternateContent xmlns:mc="http://schemas.openxmlformats.org/markup-compatibility/2006">
      <mc:Choice Requires="x14">
        <control shapeId="3118" r:id="rId18" name="ckbTxCC">
          <controlPr disabled="1" autoLine="0" r:id="rId19">
            <anchor moveWithCells="1">
              <from>
                <xdr:col>29</xdr:col>
                <xdr:colOff>76200</xdr:colOff>
                <xdr:row>33</xdr:row>
                <xdr:rowOff>85725</xdr:rowOff>
              </from>
              <to>
                <xdr:col>31</xdr:col>
                <xdr:colOff>95250</xdr:colOff>
                <xdr:row>35</xdr:row>
                <xdr:rowOff>9525</xdr:rowOff>
              </to>
            </anchor>
          </controlPr>
        </control>
      </mc:Choice>
      <mc:Fallback>
        <control shapeId="3118" r:id="rId18" name="ckbTxCC"/>
      </mc:Fallback>
    </mc:AlternateContent>
    <mc:AlternateContent xmlns:mc="http://schemas.openxmlformats.org/markup-compatibility/2006">
      <mc:Choice Requires="x14">
        <control shapeId="3116" r:id="rId20" name="radCustom">
          <controlPr autoLine="0" r:id="rId21">
            <anchor moveWithCells="1">
              <from>
                <xdr:col>35</xdr:col>
                <xdr:colOff>0</xdr:colOff>
                <xdr:row>24</xdr:row>
                <xdr:rowOff>114300</xdr:rowOff>
              </from>
              <to>
                <xdr:col>38</xdr:col>
                <xdr:colOff>28575</xdr:colOff>
                <xdr:row>26</xdr:row>
                <xdr:rowOff>38100</xdr:rowOff>
              </to>
            </anchor>
          </controlPr>
        </control>
      </mc:Choice>
      <mc:Fallback>
        <control shapeId="3116" r:id="rId20" name="radCustom"/>
      </mc:Fallback>
    </mc:AlternateContent>
    <mc:AlternateContent xmlns:mc="http://schemas.openxmlformats.org/markup-compatibility/2006">
      <mc:Choice Requires="x14">
        <control shapeId="3115" r:id="rId22" name="radPinned">
          <controlPr autoLine="0" r:id="rId23">
            <anchor moveWithCells="1">
              <from>
                <xdr:col>31</xdr:col>
                <xdr:colOff>161925</xdr:colOff>
                <xdr:row>24</xdr:row>
                <xdr:rowOff>114300</xdr:rowOff>
              </from>
              <to>
                <xdr:col>35</xdr:col>
                <xdr:colOff>9525</xdr:colOff>
                <xdr:row>26</xdr:row>
                <xdr:rowOff>38100</xdr:rowOff>
              </to>
            </anchor>
          </controlPr>
        </control>
      </mc:Choice>
      <mc:Fallback>
        <control shapeId="3115" r:id="rId22" name="radPinned"/>
      </mc:Fallback>
    </mc:AlternateContent>
    <mc:AlternateContent xmlns:mc="http://schemas.openxmlformats.org/markup-compatibility/2006">
      <mc:Choice Requires="x14">
        <control shapeId="3113" r:id="rId24" name="radFixed">
          <controlPr autoLine="0" r:id="rId25">
            <anchor moveWithCells="1">
              <from>
                <xdr:col>29</xdr:col>
                <xdr:colOff>19050</xdr:colOff>
                <xdr:row>24</xdr:row>
                <xdr:rowOff>114300</xdr:rowOff>
              </from>
              <to>
                <xdr:col>31</xdr:col>
                <xdr:colOff>161925</xdr:colOff>
                <xdr:row>26</xdr:row>
                <xdr:rowOff>38100</xdr:rowOff>
              </to>
            </anchor>
          </controlPr>
        </control>
      </mc:Choice>
      <mc:Fallback>
        <control shapeId="3113" r:id="rId24" name="radFixed"/>
      </mc:Fallback>
    </mc:AlternateContent>
    <mc:AlternateContent xmlns:mc="http://schemas.openxmlformats.org/markup-compatibility/2006">
      <mc:Choice Requires="x14">
        <control shapeId="3108" r:id="rId26" name="ckbRz">
          <controlPr disabled="1" autoLine="0" r:id="rId27">
            <anchor moveWithCells="1">
              <from>
                <xdr:col>34</xdr:col>
                <xdr:colOff>114300</xdr:colOff>
                <xdr:row>28</xdr:row>
                <xdr:rowOff>47625</xdr:rowOff>
              </from>
              <to>
                <xdr:col>36</xdr:col>
                <xdr:colOff>133350</xdr:colOff>
                <xdr:row>29</xdr:row>
                <xdr:rowOff>123825</xdr:rowOff>
              </to>
            </anchor>
          </controlPr>
        </control>
      </mc:Choice>
      <mc:Fallback>
        <control shapeId="3108" r:id="rId26" name="ckbRz"/>
      </mc:Fallback>
    </mc:AlternateContent>
    <mc:AlternateContent xmlns:mc="http://schemas.openxmlformats.org/markup-compatibility/2006">
      <mc:Choice Requires="x14">
        <control shapeId="3107" r:id="rId28" name="ckbRy">
          <controlPr disabled="1" autoLine="0" r:id="rId29">
            <anchor moveWithCells="1">
              <from>
                <xdr:col>32</xdr:col>
                <xdr:colOff>9525</xdr:colOff>
                <xdr:row>28</xdr:row>
                <xdr:rowOff>47625</xdr:rowOff>
              </from>
              <to>
                <xdr:col>34</xdr:col>
                <xdr:colOff>28575</xdr:colOff>
                <xdr:row>29</xdr:row>
                <xdr:rowOff>123825</xdr:rowOff>
              </to>
            </anchor>
          </controlPr>
        </control>
      </mc:Choice>
      <mc:Fallback>
        <control shapeId="3107" r:id="rId28" name="ckbRy"/>
      </mc:Fallback>
    </mc:AlternateContent>
    <mc:AlternateContent xmlns:mc="http://schemas.openxmlformats.org/markup-compatibility/2006">
      <mc:Choice Requires="x14">
        <control shapeId="3106" r:id="rId30" name="ckbRx">
          <controlPr disabled="1" autoLine="0" r:id="rId31">
            <anchor moveWithCells="1">
              <from>
                <xdr:col>29</xdr:col>
                <xdr:colOff>76200</xdr:colOff>
                <xdr:row>28</xdr:row>
                <xdr:rowOff>47625</xdr:rowOff>
              </from>
              <to>
                <xdr:col>31</xdr:col>
                <xdr:colOff>95250</xdr:colOff>
                <xdr:row>29</xdr:row>
                <xdr:rowOff>123825</xdr:rowOff>
              </to>
            </anchor>
          </controlPr>
        </control>
      </mc:Choice>
      <mc:Fallback>
        <control shapeId="3106" r:id="rId30" name="ckbRx"/>
      </mc:Fallback>
    </mc:AlternateContent>
    <mc:AlternateContent xmlns:mc="http://schemas.openxmlformats.org/markup-compatibility/2006">
      <mc:Choice Requires="x14">
        <control shapeId="3105" r:id="rId32" name="ckbTz">
          <controlPr disabled="1" autoLine="0" r:id="rId33">
            <anchor moveWithCells="1">
              <from>
                <xdr:col>34</xdr:col>
                <xdr:colOff>114300</xdr:colOff>
                <xdr:row>26</xdr:row>
                <xdr:rowOff>123825</xdr:rowOff>
              </from>
              <to>
                <xdr:col>36</xdr:col>
                <xdr:colOff>133350</xdr:colOff>
                <xdr:row>28</xdr:row>
                <xdr:rowOff>47625</xdr:rowOff>
              </to>
            </anchor>
          </controlPr>
        </control>
      </mc:Choice>
      <mc:Fallback>
        <control shapeId="3105" r:id="rId32" name="ckbTz"/>
      </mc:Fallback>
    </mc:AlternateContent>
    <mc:AlternateContent xmlns:mc="http://schemas.openxmlformats.org/markup-compatibility/2006">
      <mc:Choice Requires="x14">
        <control shapeId="3104" r:id="rId34" name="ckbTy">
          <controlPr disabled="1" autoLine="0" r:id="rId35">
            <anchor moveWithCells="1">
              <from>
                <xdr:col>32</xdr:col>
                <xdr:colOff>0</xdr:colOff>
                <xdr:row>26</xdr:row>
                <xdr:rowOff>123825</xdr:rowOff>
              </from>
              <to>
                <xdr:col>34</xdr:col>
                <xdr:colOff>19050</xdr:colOff>
                <xdr:row>28</xdr:row>
                <xdr:rowOff>47625</xdr:rowOff>
              </to>
            </anchor>
          </controlPr>
        </control>
      </mc:Choice>
      <mc:Fallback>
        <control shapeId="3104" r:id="rId34" name="ckbTy"/>
      </mc:Fallback>
    </mc:AlternateContent>
    <mc:AlternateContent xmlns:mc="http://schemas.openxmlformats.org/markup-compatibility/2006">
      <mc:Choice Requires="x14">
        <control shapeId="3103" r:id="rId36" name="ckbTx">
          <controlPr disabled="1" autoLine="0" r:id="rId37">
            <anchor moveWithCells="1">
              <from>
                <xdr:col>29</xdr:col>
                <xdr:colOff>76200</xdr:colOff>
                <xdr:row>26</xdr:row>
                <xdr:rowOff>123825</xdr:rowOff>
              </from>
              <to>
                <xdr:col>31</xdr:col>
                <xdr:colOff>95250</xdr:colOff>
                <xdr:row>28</xdr:row>
                <xdr:rowOff>47625</xdr:rowOff>
              </to>
            </anchor>
          </controlPr>
        </control>
      </mc:Choice>
      <mc:Fallback>
        <control shapeId="3103" r:id="rId36" name="ckbTx"/>
      </mc:Fallback>
    </mc:AlternateContent>
    <mc:AlternateContent xmlns:mc="http://schemas.openxmlformats.org/markup-compatibility/2006">
      <mc:Choice Requires="x14">
        <control shapeId="3102" r:id="rId38" name="ckbCCBottomBasePlate">
          <controlPr autoLine="0" r:id="rId39">
            <anchor>
              <from>
                <xdr:col>29</xdr:col>
                <xdr:colOff>38100</xdr:colOff>
                <xdr:row>16</xdr:row>
                <xdr:rowOff>9525</xdr:rowOff>
              </from>
              <to>
                <xdr:col>36</xdr:col>
                <xdr:colOff>142875</xdr:colOff>
                <xdr:row>17</xdr:row>
                <xdr:rowOff>85725</xdr:rowOff>
              </to>
            </anchor>
          </controlPr>
        </control>
      </mc:Choice>
      <mc:Fallback>
        <control shapeId="3102" r:id="rId38" name="ckbCCBottomBasePlate"/>
      </mc:Fallback>
    </mc:AlternateContent>
    <mc:AlternateContent xmlns:mc="http://schemas.openxmlformats.org/markup-compatibility/2006">
      <mc:Choice Requires="x14">
        <control shapeId="3083" r:id="rId40" name="ckbCCBottomCapPlate">
          <controlPr disabled="1" autoLine="0" r:id="rId41">
            <anchor>
              <from>
                <xdr:col>29</xdr:col>
                <xdr:colOff>38100</xdr:colOff>
                <xdr:row>17</xdr:row>
                <xdr:rowOff>47625</xdr:rowOff>
              </from>
              <to>
                <xdr:col>36</xdr:col>
                <xdr:colOff>142875</xdr:colOff>
                <xdr:row>18</xdr:row>
                <xdr:rowOff>123825</xdr:rowOff>
              </to>
            </anchor>
          </controlPr>
        </control>
      </mc:Choice>
      <mc:Fallback>
        <control shapeId="3083" r:id="rId40" name="ckbCCBottomCapPlate"/>
      </mc:Fallback>
    </mc:AlternateContent>
    <mc:AlternateContent xmlns:mc="http://schemas.openxmlformats.org/markup-compatibility/2006">
      <mc:Choice Requires="x14">
        <control shapeId="3084" r:id="rId42" name="ckbCRVerticalAnnulus">
          <controlPr autoLine="0" r:id="rId43">
            <anchor>
              <from>
                <xdr:col>29</xdr:col>
                <xdr:colOff>38100</xdr:colOff>
                <xdr:row>12</xdr:row>
                <xdr:rowOff>0</xdr:rowOff>
              </from>
              <to>
                <xdr:col>37</xdr:col>
                <xdr:colOff>142875</xdr:colOff>
                <xdr:row>13</xdr:row>
                <xdr:rowOff>76200</xdr:rowOff>
              </to>
            </anchor>
          </controlPr>
        </control>
      </mc:Choice>
      <mc:Fallback>
        <control shapeId="3084" r:id="rId42" name="ckbCRVerticalAnnulus"/>
      </mc:Fallback>
    </mc:AlternateContent>
    <mc:AlternateContent xmlns:mc="http://schemas.openxmlformats.org/markup-compatibility/2006">
      <mc:Choice Requires="x14">
        <control shapeId="3085" r:id="rId44" name="ckbCompressionRing">
          <controlPr autoLine="0" r:id="rId45">
            <anchor>
              <from>
                <xdr:col>29</xdr:col>
                <xdr:colOff>38100</xdr:colOff>
                <xdr:row>10</xdr:row>
                <xdr:rowOff>76200</xdr:rowOff>
              </from>
              <to>
                <xdr:col>37</xdr:col>
                <xdr:colOff>142875</xdr:colOff>
                <xdr:row>12</xdr:row>
                <xdr:rowOff>0</xdr:rowOff>
              </to>
            </anchor>
          </controlPr>
        </control>
      </mc:Choice>
      <mc:Fallback>
        <control shapeId="3085" r:id="rId44" name="ckbCompressionRing"/>
      </mc:Fallback>
    </mc:AlternateContent>
    <mc:AlternateContent xmlns:mc="http://schemas.openxmlformats.org/markup-compatibility/2006">
      <mc:Choice Requires="x14">
        <control shapeId="3087" r:id="rId46" name="ckbCCTop">
          <controlPr autoLine="0" r:id="rId47">
            <anchor>
              <from>
                <xdr:col>29</xdr:col>
                <xdr:colOff>38100</xdr:colOff>
                <xdr:row>18</xdr:row>
                <xdr:rowOff>95250</xdr:rowOff>
              </from>
              <to>
                <xdr:col>37</xdr:col>
                <xdr:colOff>142875</xdr:colOff>
                <xdr:row>20</xdr:row>
                <xdr:rowOff>19050</xdr:rowOff>
              </to>
            </anchor>
          </controlPr>
        </control>
      </mc:Choice>
      <mc:Fallback>
        <control shapeId="3087" r:id="rId46" name="ckbCCTop"/>
      </mc:Fallback>
    </mc:AlternateContent>
    <mc:AlternateContent xmlns:mc="http://schemas.openxmlformats.org/markup-compatibility/2006">
      <mc:Choice Requires="x14">
        <control shapeId="3088" r:id="rId48" name="btnGenerateThickener">
          <controlPr autoLine="0" r:id="rId49">
            <anchor moveWithCells="1">
              <from>
                <xdr:col>31</xdr:col>
                <xdr:colOff>85725</xdr:colOff>
                <xdr:row>4</xdr:row>
                <xdr:rowOff>57150</xdr:rowOff>
              </from>
              <to>
                <xdr:col>38</xdr:col>
                <xdr:colOff>133350</xdr:colOff>
                <xdr:row>6</xdr:row>
                <xdr:rowOff>9525</xdr:rowOff>
              </to>
            </anchor>
          </controlPr>
        </control>
      </mc:Choice>
      <mc:Fallback>
        <control shapeId="3088" r:id="rId48" name="btnGenerateThickener"/>
      </mc:Fallback>
    </mc:AlternateContent>
    <mc:AlternateContent xmlns:mc="http://schemas.openxmlformats.org/markup-compatibility/2006">
      <mc:Choice Requires="x14">
        <control shapeId="3097" r:id="rId50" name="ckbCCBottom">
          <controlPr autoLine="0" r:id="rId51">
            <anchor>
              <from>
                <xdr:col>29</xdr:col>
                <xdr:colOff>38100</xdr:colOff>
                <xdr:row>14</xdr:row>
                <xdr:rowOff>123825</xdr:rowOff>
              </from>
              <to>
                <xdr:col>37</xdr:col>
                <xdr:colOff>142875</xdr:colOff>
                <xdr:row>16</xdr:row>
                <xdr:rowOff>47625</xdr:rowOff>
              </to>
            </anchor>
          </controlPr>
        </control>
      </mc:Choice>
      <mc:Fallback>
        <control shapeId="3097" r:id="rId50" name="ckbCCBottom"/>
      </mc:Fallback>
    </mc:AlternateContent>
    <mc:AlternateContent xmlns:mc="http://schemas.openxmlformats.org/markup-compatibility/2006">
      <mc:Choice Requires="x14">
        <control shapeId="3098" r:id="rId52" name="ckbCRStiffener">
          <controlPr autoLine="0" r:id="rId53">
            <anchor>
              <from>
                <xdr:col>29</xdr:col>
                <xdr:colOff>38100</xdr:colOff>
                <xdr:row>13</xdr:row>
                <xdr:rowOff>66675</xdr:rowOff>
              </from>
              <to>
                <xdr:col>37</xdr:col>
                <xdr:colOff>142875</xdr:colOff>
                <xdr:row>14</xdr:row>
                <xdr:rowOff>142875</xdr:rowOff>
              </to>
            </anchor>
          </controlPr>
        </control>
      </mc:Choice>
      <mc:Fallback>
        <control shapeId="3098" r:id="rId52" name="ckbCRStiffener"/>
      </mc:Fallback>
    </mc:AlternateContent>
    <mc:AlternateContent xmlns:mc="http://schemas.openxmlformats.org/markup-compatibility/2006">
      <mc:Choice Requires="x14">
        <control shapeId="3099" r:id="rId54" name="ckbCCTopCapPlate">
          <controlPr autoLine="0" r:id="rId55">
            <anchor>
              <from>
                <xdr:col>29</xdr:col>
                <xdr:colOff>38100</xdr:colOff>
                <xdr:row>19</xdr:row>
                <xdr:rowOff>142875</xdr:rowOff>
              </from>
              <to>
                <xdr:col>36</xdr:col>
                <xdr:colOff>142875</xdr:colOff>
                <xdr:row>21</xdr:row>
                <xdr:rowOff>66675</xdr:rowOff>
              </to>
            </anchor>
          </controlPr>
        </control>
      </mc:Choice>
      <mc:Fallback>
        <control shapeId="3099" r:id="rId54" name="ckbCCTopCapPlate"/>
      </mc:Fallback>
    </mc:AlternateContent>
    <mc:AlternateContent xmlns:mc="http://schemas.openxmlformats.org/markup-compatibility/2006">
      <mc:Choice Requires="x14">
        <control shapeId="3100" r:id="rId56" name="ckbCCStiffener">
          <controlPr autoLine="0" r:id="rId57">
            <anchor>
              <from>
                <xdr:col>29</xdr:col>
                <xdr:colOff>38100</xdr:colOff>
                <xdr:row>21</xdr:row>
                <xdr:rowOff>28575</xdr:rowOff>
              </from>
              <to>
                <xdr:col>36</xdr:col>
                <xdr:colOff>142875</xdr:colOff>
                <xdr:row>22</xdr:row>
                <xdr:rowOff>104775</xdr:rowOff>
              </to>
            </anchor>
          </controlPr>
        </control>
      </mc:Choice>
      <mc:Fallback>
        <control shapeId="3100" r:id="rId56" name="ckbCCStiffener"/>
      </mc:Fallback>
    </mc:AlternateContent>
    <mc:AlternateContent xmlns:mc="http://schemas.openxmlformats.org/markup-compatibility/2006">
      <mc:Choice Requires="x14">
        <control shapeId="3109" r:id="rId58" name="Group Box 37">
          <controlPr defaultSize="0" autoFill="0" autoPict="0">
            <anchor moveWithCells="1">
              <from>
                <xdr:col>28</xdr:col>
                <xdr:colOff>161925</xdr:colOff>
                <xdr:row>23</xdr:row>
                <xdr:rowOff>133350</xdr:rowOff>
              </from>
              <to>
                <xdr:col>38</xdr:col>
                <xdr:colOff>28575</xdr:colOff>
                <xdr:row>30</xdr:row>
                <xdr:rowOff>19050</xdr:rowOff>
              </to>
            </anchor>
          </controlPr>
        </control>
      </mc:Choice>
    </mc:AlternateContent>
    <mc:AlternateContent xmlns:mc="http://schemas.openxmlformats.org/markup-compatibility/2006">
      <mc:Choice Requires="x14">
        <control shapeId="3124" r:id="rId59" name="Group Box 52">
          <controlPr defaultSize="0" autoFill="0" autoPict="0">
            <anchor moveWithCells="1">
              <from>
                <xdr:col>28</xdr:col>
                <xdr:colOff>161925</xdr:colOff>
                <xdr:row>30</xdr:row>
                <xdr:rowOff>95250</xdr:rowOff>
              </from>
              <to>
                <xdr:col>38</xdr:col>
                <xdr:colOff>28575</xdr:colOff>
                <xdr:row>36</xdr:row>
                <xdr:rowOff>133350</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83</vt:i4>
      </vt:variant>
    </vt:vector>
  </HeadingPairs>
  <TitlesOfParts>
    <vt:vector size="85" baseType="lpstr">
      <vt:lpstr>Version History</vt:lpstr>
      <vt:lpstr>Geometry Input</vt:lpstr>
      <vt:lpstr>Alpha</vt:lpstr>
      <vt:lpstr>AspectRatio</vt:lpstr>
      <vt:lpstr>bBridge</vt:lpstr>
      <vt:lpstr>bCR</vt:lpstr>
      <vt:lpstr>Beta</vt:lpstr>
      <vt:lpstr>bExtension</vt:lpstr>
      <vt:lpstr>bExtFraCols</vt:lpstr>
      <vt:lpstr>bLaun</vt:lpstr>
      <vt:lpstr>bridgeAngle</vt:lpstr>
      <vt:lpstr>BridgeType</vt:lpstr>
      <vt:lpstr>ColumnData</vt:lpstr>
      <vt:lpstr>ColumnMethod</vt:lpstr>
      <vt:lpstr>ColumnsSection</vt:lpstr>
      <vt:lpstr>CrossBraceSection</vt:lpstr>
      <vt:lpstr>dCC</vt:lpstr>
      <vt:lpstr>dCR</vt:lpstr>
      <vt:lpstr>DocApprover</vt:lpstr>
      <vt:lpstr>DocChecker</vt:lpstr>
      <vt:lpstr>DocClient</vt:lpstr>
      <vt:lpstr>DocCurrentDate</vt:lpstr>
      <vt:lpstr>DocCurrentIssue</vt:lpstr>
      <vt:lpstr>DocInitialDate</vt:lpstr>
      <vt:lpstr>DocInitialIssue</vt:lpstr>
      <vt:lpstr>DocNumber</vt:lpstr>
      <vt:lpstr>DocOriginator</vt:lpstr>
      <vt:lpstr>DocProject</vt:lpstr>
      <vt:lpstr>DocTitle</vt:lpstr>
      <vt:lpstr>DocVersion</vt:lpstr>
      <vt:lpstr>DroopDepth</vt:lpstr>
      <vt:lpstr>DroopRadius</vt:lpstr>
      <vt:lpstr>dTank</vt:lpstr>
      <vt:lpstr>dUF</vt:lpstr>
      <vt:lpstr>FreeBoard</vt:lpstr>
      <vt:lpstr>HalfChordLength</vt:lpstr>
      <vt:lpstr>hBridge</vt:lpstr>
      <vt:lpstr>hCC</vt:lpstr>
      <vt:lpstr>hCCTop</vt:lpstr>
      <vt:lpstr>hCR</vt:lpstr>
      <vt:lpstr>hDroop</vt:lpstr>
      <vt:lpstr>hExtension</vt:lpstr>
      <vt:lpstr>hLaun</vt:lpstr>
      <vt:lpstr>hStubAbove</vt:lpstr>
      <vt:lpstr>hStubBelow</vt:lpstr>
      <vt:lpstr>hUF</vt:lpstr>
      <vt:lpstr>hWall</vt:lpstr>
      <vt:lpstr>idBP</vt:lpstr>
      <vt:lpstr>idCP</vt:lpstr>
      <vt:lpstr>lenExtensionFar</vt:lpstr>
      <vt:lpstr>lenExtensionNear</vt:lpstr>
      <vt:lpstr>MaxPlateDim</vt:lpstr>
      <vt:lpstr>nBoltsCC</vt:lpstr>
      <vt:lpstr>nColRB</vt:lpstr>
      <vt:lpstr>nRB</vt:lpstr>
      <vt:lpstr>odBP</vt:lpstr>
      <vt:lpstr>odCP</vt:lpstr>
      <vt:lpstr>Omega</vt:lpstr>
      <vt:lpstr>pcdBolts</vt:lpstr>
      <vt:lpstr>PlateThick</vt:lpstr>
      <vt:lpstr>'Droop Calcs'!Print_Area</vt:lpstr>
      <vt:lpstr>'Geometry Input'!Print_Area</vt:lpstr>
      <vt:lpstr>'Version History'!Print_Area</vt:lpstr>
      <vt:lpstr>'Droop Calcs'!Print_Titles</vt:lpstr>
      <vt:lpstr>'Geometry Input'!Print_Titles</vt:lpstr>
      <vt:lpstr>RadBeamSection</vt:lpstr>
      <vt:lpstr>RadBraceSection</vt:lpstr>
      <vt:lpstr>rDroop</vt:lpstr>
      <vt:lpstr>sDelta</vt:lpstr>
      <vt:lpstr>TemplateDocApprover</vt:lpstr>
      <vt:lpstr>TemplateDocChecker</vt:lpstr>
      <vt:lpstr>TemplateDocClient</vt:lpstr>
      <vt:lpstr>TemplateDocCurrentDate</vt:lpstr>
      <vt:lpstr>TemplateDocCurrentRevision</vt:lpstr>
      <vt:lpstr>TemplateDocInitialDate</vt:lpstr>
      <vt:lpstr>TemplateDocInitialRevision</vt:lpstr>
      <vt:lpstr>TemplateDocNumber</vt:lpstr>
      <vt:lpstr>TemplateDocOriginator</vt:lpstr>
      <vt:lpstr>TemplateDocProject</vt:lpstr>
      <vt:lpstr>TemplateDocTitle</vt:lpstr>
      <vt:lpstr>'Version History'!TemplateDocVersion</vt:lpstr>
      <vt:lpstr>Theta</vt:lpstr>
      <vt:lpstr>xOrigin</vt:lpstr>
      <vt:lpstr>yOrigin</vt:lpstr>
      <vt:lpstr>zOrigin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Engineered Programming</dc:creator>
  <cp:lastModifiedBy>MASANAM Srinivasarao Tenova Delkor</cp:lastModifiedBy>
  <cp:lastPrinted>2019-04-24T05:38:11Z</cp:lastPrinted>
  <dcterms:created xsi:type="dcterms:W3CDTF">2017-09-29T11:15:12Z</dcterms:created>
  <dcterms:modified xsi:type="dcterms:W3CDTF">2019-07-26T04:01:56Z</dcterms:modified>
</cp:coreProperties>
</file>