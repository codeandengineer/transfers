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02. Due\00. Projects\00. VSquareCE\01. Templates\02. Thickener Generator\"/>
    </mc:Choice>
  </mc:AlternateContent>
  <bookViews>
    <workbookView xWindow="0" yWindow="0" windowWidth="21570" windowHeight="9615" firstSheet="2" activeTab="2"/>
  </bookViews>
  <sheets>
    <sheet name="Version History" sheetId="5" r:id="rId1"/>
    <sheet name="Droop Calcs" sheetId="2" state="veryHidden" r:id="rId2"/>
    <sheet name="Geometry Input" sheetId="4" r:id="rId3"/>
  </sheets>
  <functionGroups builtInGroupCount="18"/>
  <externalReferences>
    <externalReference r:id="rId4"/>
  </externalReferences>
  <definedNames>
    <definedName name="Ag">[1]Calcs!$I$9</definedName>
    <definedName name="Alpha">'Geometry Input'!$X$11</definedName>
    <definedName name="AspectRatio">'Geometry Input'!$X$43</definedName>
    <definedName name="bBridge">'Geometry Input'!$BP$52</definedName>
    <definedName name="bCR">'Geometry Input'!$X$28</definedName>
    <definedName name="Beta">'Geometry Input'!$X$12</definedName>
    <definedName name="bExtension">'Geometry Input'!$BP$54</definedName>
    <definedName name="bExtFraCols">'Geometry Input'!$BP$60</definedName>
    <definedName name="bf">[1]Calcs!$I$11</definedName>
    <definedName name="bLaun">'Geometry Input'!$X$39</definedName>
    <definedName name="bridgeAngle">'Geometry Input'!$BP$51</definedName>
    <definedName name="BridgeType">'Geometry Input'!$BP$62</definedName>
    <definedName name="ColumnData">'Geometry Input'!$D$49:$AL$59</definedName>
    <definedName name="ColumnMethod">'Geometry Input'!$G$46</definedName>
    <definedName name="ColumnsSection">'Geometry Input'!$AB$84</definedName>
    <definedName name="CrossBraceSection">'Geometry Input'!$AB$85</definedName>
    <definedName name="dCC">'Geometry Input'!$X$17</definedName>
    <definedName name="dCR">'Geometry Input'!$X$27</definedName>
    <definedName name="DesignMethod">[1]Calcs!$X$90</definedName>
    <definedName name="DocApprover" localSheetId="0">[1]Summary!$AO$3</definedName>
    <definedName name="DocApprover">'Geometry Input'!$AC$3</definedName>
    <definedName name="DocChecker" localSheetId="0">[1]Summary!$AO$2</definedName>
    <definedName name="DocChecker">'Geometry Input'!$AC$2</definedName>
    <definedName name="DocClient" localSheetId="0">[1]Summary!$G$4</definedName>
    <definedName name="DocClient">'Geometry Input'!$G$4</definedName>
    <definedName name="DocCurrentDate" localSheetId="0">[1]Summary!$AV$4</definedName>
    <definedName name="DocCurrentDate">'Geometry Input'!$AJ$4</definedName>
    <definedName name="DocCurrentIssue" localSheetId="0">[1]Summary!$AV$3</definedName>
    <definedName name="DocCurrentIssue">'Geometry Input'!$AJ$3</definedName>
    <definedName name="DocInitialDate" localSheetId="0">[1]Summary!$AR$4</definedName>
    <definedName name="DocInitialDate">'Geometry Input'!$AF$4</definedName>
    <definedName name="DocInitialIssue" localSheetId="0">[1]Summary!$AR$3</definedName>
    <definedName name="DocInitialIssue">'Geometry Input'!$AF$3</definedName>
    <definedName name="DocNumber" localSheetId="0">[1]Summary!$G$1</definedName>
    <definedName name="DocNumber">'Geometry Input'!$G$1</definedName>
    <definedName name="DocOriginator" localSheetId="0">[1]Summary!$AO$1</definedName>
    <definedName name="DocOriginator">'Geometry Input'!$AC$1</definedName>
    <definedName name="DocProject" localSheetId="0">[1]Summary!$G$3</definedName>
    <definedName name="DocProject">'Geometry Input'!$G$3</definedName>
    <definedName name="DocTitle">'Geometry Input'!$G$2</definedName>
    <definedName name="DocVersion" localSheetId="0">[1]Summary!$AK$4</definedName>
    <definedName name="DocVersion">'Geometry Input'!$Y$4</definedName>
    <definedName name="DroopDepth">'Droop Calcs'!$K$12</definedName>
    <definedName name="DroopRadius">'Droop Calcs'!$V$26</definedName>
    <definedName name="dTank">'Geometry Input'!$X$36</definedName>
    <definedName name="dUF">'Geometry Input'!$X$25</definedName>
    <definedName name="E">[1]Calcs!$AB$26</definedName>
    <definedName name="FreeBoard">'Geometry Input'!$X$38</definedName>
    <definedName name="Fu">[1]Calcs!$W$26</definedName>
    <definedName name="Fy">[1]Calcs!$S$26</definedName>
    <definedName name="h">[1]Calcs!$I$10</definedName>
    <definedName name="HalfChordLength">'Geometry Input'!$X$32</definedName>
    <definedName name="hBridge">'Geometry Input'!$BP$53</definedName>
    <definedName name="hCC">'Geometry Input'!$X$18</definedName>
    <definedName name="hCCTop">'Geometry Input'!$X$19</definedName>
    <definedName name="hCR">'Geometry Input'!$X$29</definedName>
    <definedName name="hDroop">'Geometry Input'!$X$30</definedName>
    <definedName name="hExtension">'Geometry Input'!$BP$55</definedName>
    <definedName name="hLaun">'Geometry Input'!$X$40</definedName>
    <definedName name="hStubAbove">'Geometry Input'!$BP$59</definedName>
    <definedName name="hStubBelow">'Geometry Input'!$BP$58</definedName>
    <definedName name="hUF">'Geometry Input'!$X$26</definedName>
    <definedName name="hWall">'Geometry Input'!$X$37</definedName>
    <definedName name="idBP">'Geometry Input'!$X$20</definedName>
    <definedName name="idCP">'Geometry Input'!$X$23</definedName>
    <definedName name="k">[1]Calcs!$I$14</definedName>
    <definedName name="lenExtensionFar">'Geometry Input'!$BP$57</definedName>
    <definedName name="lenExtensionNear">'Geometry Input'!$BP$56</definedName>
    <definedName name="MaxPlateDim">'Geometry Input'!$X$44</definedName>
    <definedName name="nBoltsCC">'Geometry Input'!$X$34</definedName>
    <definedName name="nColRB">'Geometry Input'!$X$16</definedName>
    <definedName name="nRB">'Geometry Input'!$X$15</definedName>
    <definedName name="odBP">'Geometry Input'!$X$21</definedName>
    <definedName name="odCP">'Geometry Input'!$X$24</definedName>
    <definedName name="Omega">'Geometry Input'!$X$41</definedName>
    <definedName name="pcdBolts">'Geometry Input'!$X$22</definedName>
    <definedName name="PlateThick">'Geometry Input'!$AB$82</definedName>
    <definedName name="_xlnm.Print_Area" localSheetId="1">'Droop Calcs'!$A$1:$AG$43</definedName>
    <definedName name="_xlnm.Print_Area" localSheetId="2">'Geometry Input'!$A$1:$AM$118</definedName>
    <definedName name="_xlnm.Print_Area" localSheetId="0">'Version History'!$A$1:$AL$59</definedName>
    <definedName name="_xlnm.Print_Titles" localSheetId="1">'Droop Calcs'!$1:$4</definedName>
    <definedName name="_xlnm.Print_Titles" localSheetId="2">'Geometry Input'!$1:$4</definedName>
    <definedName name="Qfb">[1]Calcs!$V$160</definedName>
    <definedName name="Qtftb">[1]Calcs!$V$174</definedName>
    <definedName name="RadBeamSection">'Geometry Input'!$AB$83</definedName>
    <definedName name="RadBraceSection">'Geometry Input'!$AB$86</definedName>
    <definedName name="rDroop">'Geometry Input'!$X$31</definedName>
    <definedName name="sDelta">'Geometry Input'!$X$13</definedName>
    <definedName name="SectionDatabase">[1]Calcs!$M$6</definedName>
    <definedName name="SectionProfile">[1]Calcs!$W$6</definedName>
    <definedName name="SectionType">[1]Calcs!$R$6</definedName>
    <definedName name="TemplateDocApprover">'Version History'!$AB$3</definedName>
    <definedName name="TemplateDocChecker">'Version History'!$AB$2</definedName>
    <definedName name="TemplateDocClient">'Version History'!$G$4</definedName>
    <definedName name="TemplateDocCurrentDate">'Version History'!$AI$4</definedName>
    <definedName name="TemplateDocCurrentRevision">'Version History'!$AI$3</definedName>
    <definedName name="TemplateDocInitialDate">'Version History'!$AE$4</definedName>
    <definedName name="TemplateDocInitialRevision">'Version History'!$AE$3</definedName>
    <definedName name="TemplateDocNumber">'Version History'!$G$1</definedName>
    <definedName name="TemplateDocOriginator">'Version History'!$AB$1</definedName>
    <definedName name="TemplateDocProject">'Version History'!$G$3</definedName>
    <definedName name="TemplateDocTitle">'Version History'!$G$2</definedName>
    <definedName name="TemplateDocVersion" localSheetId="0">'Version History'!$X$4</definedName>
    <definedName name="tf">[1]Calcs!$I$12</definedName>
    <definedName name="Theta">'Geometry Input'!$X$33</definedName>
    <definedName name="tw">[1]Calcs!$I$13</definedName>
    <definedName name="xOrigin">'Geometry Input'!$D$8</definedName>
    <definedName name="yOrigin">'Geometry Input'!$K$8</definedName>
    <definedName name="zOrigin">'Geometry Input'!$R$8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4" i="4" l="1"/>
  <c r="B55" i="4"/>
  <c r="B56" i="4"/>
  <c r="B57" i="4"/>
  <c r="B58" i="4"/>
  <c r="B49" i="4"/>
  <c r="B50" i="4" s="1"/>
  <c r="B51" i="4" s="1"/>
  <c r="B52" i="4" s="1"/>
  <c r="B53" i="4" s="1"/>
  <c r="B59" i="4"/>
  <c r="B92" i="4" l="1"/>
  <c r="B91" i="4"/>
  <c r="B88" i="4"/>
  <c r="B89" i="4" s="1"/>
  <c r="B90" i="4" s="1"/>
  <c r="B87" i="4"/>
  <c r="B82" i="4"/>
  <c r="B83" i="4" s="1"/>
  <c r="B84" i="4" s="1"/>
  <c r="B85" i="4" s="1"/>
  <c r="B86" i="4" s="1"/>
  <c r="B76" i="4"/>
  <c r="B75" i="4"/>
  <c r="B74" i="4"/>
  <c r="B73" i="4"/>
  <c r="B72" i="4"/>
  <c r="B71" i="4"/>
  <c r="B66" i="4"/>
  <c r="B67" i="4" s="1"/>
  <c r="B68" i="4" s="1"/>
  <c r="B69" i="4" s="1"/>
  <c r="B70" i="4" s="1"/>
  <c r="BD49" i="4" l="1"/>
  <c r="R38" i="2" l="1"/>
  <c r="Y4" i="4" l="1"/>
  <c r="AI4" i="5"/>
  <c r="X41" i="4" l="1"/>
  <c r="X26" i="4"/>
  <c r="X28" i="4"/>
  <c r="K12" i="2"/>
  <c r="Z8" i="2"/>
  <c r="K8" i="2"/>
  <c r="AJ4" i="4" l="1"/>
  <c r="R40" i="2" l="1"/>
  <c r="K10" i="2"/>
  <c r="V26" i="2" s="1"/>
  <c r="X31" i="4" s="1"/>
  <c r="AD4" i="2"/>
  <c r="X32" i="4" l="1"/>
  <c r="V27" i="2" l="1"/>
  <c r="X33" i="4" s="1"/>
  <c r="R32" i="2"/>
  <c r="V28" i="2"/>
  <c r="V35" i="2" l="1"/>
</calcChain>
</file>

<file path=xl/comments1.xml><?xml version="1.0" encoding="utf-8"?>
<comments xmlns="http://schemas.openxmlformats.org/spreadsheetml/2006/main">
  <authors>
    <author>MASANAM Srinivasarao TENOVA Delkor</author>
    <author>Engineered Programming</author>
  </authors>
  <commentList>
    <comment ref="X11" authorId="0" shapeId="0">
      <text>
        <r>
          <rPr>
            <b/>
            <sz val="8"/>
            <color indexed="81"/>
            <rFont val="Tahoma"/>
            <family val="2"/>
          </rPr>
          <t>Elevated Terrains:</t>
        </r>
        <r>
          <rPr>
            <sz val="8"/>
            <color indexed="81"/>
            <rFont val="Tahoma"/>
            <family val="2"/>
          </rPr>
          <t xml:space="preserve">
Measured with respect to horizontal (strictly in degrees)</t>
        </r>
      </text>
    </comment>
    <comment ref="X12" authorId="0" shapeId="0">
      <text>
        <r>
          <rPr>
            <b/>
            <sz val="8"/>
            <color indexed="81"/>
            <rFont val="Tahoma"/>
            <family val="2"/>
          </rPr>
          <t xml:space="preserve">Elevated Terrains:
</t>
        </r>
        <r>
          <rPr>
            <sz val="8"/>
            <color indexed="81"/>
            <rFont val="Tahoma"/>
            <family val="2"/>
          </rPr>
          <t>Measured with respect to horizontal (strictly in degrees)</t>
        </r>
      </text>
    </comment>
    <comment ref="X13" authorId="1" shapeId="0">
      <text>
        <r>
          <rPr>
            <b/>
            <sz val="8"/>
            <color indexed="81"/>
            <rFont val="Tahoma"/>
            <family val="2"/>
          </rPr>
          <t xml:space="preserve">Elevated Terrains:
</t>
        </r>
        <r>
          <rPr>
            <sz val="8"/>
            <color indexed="81"/>
            <rFont val="Tahoma"/>
            <family val="2"/>
          </rPr>
          <t>Measured in Plan.</t>
        </r>
        <r>
          <rPr>
            <b/>
            <sz val="8"/>
            <color indexed="81"/>
            <rFont val="Tahoma"/>
            <family val="2"/>
          </rPr>
          <t xml:space="preserve">
</t>
        </r>
        <r>
          <rPr>
            <sz val="8"/>
            <color indexed="81"/>
            <rFont val="Tahoma"/>
            <family val="2"/>
          </rPr>
          <t>(strictly in degrees)</t>
        </r>
      </text>
    </comment>
    <comment ref="X31" authorId="0" shapeId="0">
      <text>
        <r>
          <rPr>
            <b/>
            <sz val="8"/>
            <color indexed="81"/>
            <rFont val="Tahoma"/>
            <family val="2"/>
          </rPr>
          <t>Elevated Terrains:</t>
        </r>
        <r>
          <rPr>
            <sz val="8"/>
            <color indexed="81"/>
            <rFont val="Tahoma"/>
            <family val="2"/>
          </rPr>
          <t xml:space="preserve">
Suggested Radius of the droop is 13m. Adjust the design droop depth to get a calculated droop radius close to 13m if required.</t>
        </r>
      </text>
    </comment>
    <comment ref="X34" authorId="0" shapeId="0">
      <text>
        <r>
          <rPr>
            <b/>
            <sz val="8"/>
            <color indexed="81"/>
            <rFont val="Tahoma"/>
            <family val="2"/>
          </rPr>
          <t>Elevated Terrains:</t>
        </r>
        <r>
          <rPr>
            <sz val="8"/>
            <color indexed="81"/>
            <rFont val="Tahoma"/>
            <family val="2"/>
          </rPr>
          <t xml:space="preserve">
Validity of the number of supports will be verified only during runtime. If the number of supports are NOT valid then, the supports generation for centre column base plate will be skipped. User need to ensure the input is correct.</t>
        </r>
      </text>
    </comment>
    <comment ref="X43" authorId="0" shapeId="0">
      <text>
        <r>
          <rPr>
            <b/>
            <sz val="8"/>
            <color indexed="81"/>
            <rFont val="Tahoma"/>
            <family val="2"/>
          </rPr>
          <t>Elevated Terrains:</t>
        </r>
        <r>
          <rPr>
            <sz val="8"/>
            <color indexed="81"/>
            <rFont val="Tahoma"/>
            <family val="2"/>
          </rPr>
          <t xml:space="preserve">
Suggested range for the limiting aspect ratio of the Plate Elements is between 2 and 3.</t>
        </r>
      </text>
    </comment>
    <comment ref="X44" authorId="0" shapeId="0">
      <text>
        <r>
          <rPr>
            <b/>
            <sz val="8"/>
            <color indexed="81"/>
            <rFont val="Tahoma"/>
            <family val="2"/>
          </rPr>
          <t>Elevated Terrains:</t>
        </r>
        <r>
          <rPr>
            <sz val="8"/>
            <color indexed="81"/>
            <rFont val="Tahoma"/>
            <family val="2"/>
          </rPr>
          <t xml:space="preserve">
Suggested limiting dimension of the Plate Elements is 0.50m.</t>
        </r>
      </text>
    </comment>
    <comment ref="D48" authorId="1" shapeId="0">
      <text>
        <r>
          <rPr>
            <b/>
            <sz val="8"/>
            <color indexed="81"/>
            <rFont val="Tahoma"/>
            <family val="2"/>
          </rPr>
          <t>Elevated Terrains:</t>
        </r>
        <r>
          <rPr>
            <sz val="8"/>
            <color indexed="81"/>
            <rFont val="Tahoma"/>
            <family val="2"/>
          </rPr>
          <t xml:space="preserve">
Description is used for creating the Groups in STAAD.Pro. Hence, do NOT use more than 5 letters.</t>
        </r>
      </text>
    </comment>
    <comment ref="BP51" authorId="0" shapeId="0">
      <text>
        <r>
          <rPr>
            <b/>
            <sz val="8"/>
            <color indexed="81"/>
            <rFont val="Tahoma"/>
            <family val="2"/>
          </rPr>
          <t>Elevated Terrains:</t>
        </r>
        <r>
          <rPr>
            <sz val="8"/>
            <color indexed="81"/>
            <rFont val="Tahoma"/>
            <family val="2"/>
          </rPr>
          <t xml:space="preserve">
Measured with respect to horizontal (strictly in degrees)</t>
        </r>
      </text>
    </comment>
  </commentList>
</comments>
</file>

<file path=xl/sharedStrings.xml><?xml version="1.0" encoding="utf-8"?>
<sst xmlns="http://schemas.openxmlformats.org/spreadsheetml/2006/main" count="421" uniqueCount="230">
  <si>
    <t>Document No.</t>
  </si>
  <si>
    <t>:</t>
  </si>
  <si>
    <t>NNNNCV16001</t>
  </si>
  <si>
    <t>Originator</t>
  </si>
  <si>
    <t>Srinivas</t>
  </si>
  <si>
    <t>Life Cycle Status</t>
  </si>
  <si>
    <t>Title</t>
  </si>
  <si>
    <t>Droop Radius Calculation</t>
  </si>
  <si>
    <t>Checker</t>
  </si>
  <si>
    <t>Carsten</t>
  </si>
  <si>
    <t>Initial Issue</t>
  </si>
  <si>
    <t>Current Issue</t>
  </si>
  <si>
    <t>Project</t>
  </si>
  <si>
    <t>Mt Marion 16m Thickener</t>
  </si>
  <si>
    <t>Approver</t>
  </si>
  <si>
    <t>NRM</t>
  </si>
  <si>
    <t>A</t>
  </si>
  <si>
    <t>Client</t>
  </si>
  <si>
    <t>-</t>
  </si>
  <si>
    <t>Droop Calculations</t>
  </si>
  <si>
    <t>Calculation of Droop Radius and Other Geometrical Parameters</t>
  </si>
  <si>
    <t>Diameter of the Thickener</t>
  </si>
  <si>
    <t>;</t>
  </si>
  <si>
    <t>Total No. of Radial Beams</t>
  </si>
  <si>
    <t>Half distance between the outermost nodes of radial beams</t>
  </si>
  <si>
    <t>x</t>
  </si>
  <si>
    <t>=</t>
  </si>
  <si>
    <t>Required plate drooping</t>
  </si>
  <si>
    <t>d</t>
  </si>
  <si>
    <t>Equation for Solving Radius</t>
  </si>
  <si>
    <r>
      <t xml:space="preserve">√ </t>
    </r>
    <r>
      <rPr>
        <i/>
        <sz val="11"/>
        <color theme="1"/>
        <rFont val="Aparajita"/>
        <family val="2"/>
      </rPr>
      <t>( R</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r>
      <rPr>
        <i/>
        <sz val="11"/>
        <color theme="1"/>
        <rFont val="Aparajita"/>
        <family val="2"/>
      </rPr>
      <t xml:space="preserve"> )</t>
    </r>
  </si>
  <si>
    <t>R - d</t>
  </si>
  <si>
    <t>»</t>
  </si>
  <si>
    <r>
      <t>(R - d)</t>
    </r>
    <r>
      <rPr>
        <i/>
        <vertAlign val="superscript"/>
        <sz val="11"/>
        <color theme="1"/>
        <rFont val="Aparajita"/>
        <family val="2"/>
      </rPr>
      <t>2</t>
    </r>
  </si>
  <si>
    <r>
      <t>R</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</si>
  <si>
    <r>
      <t>R</t>
    </r>
    <r>
      <rPr>
        <i/>
        <vertAlign val="superscript"/>
        <sz val="11"/>
        <color theme="1"/>
        <rFont val="Aparajita"/>
        <family val="2"/>
      </rPr>
      <t>2</t>
    </r>
    <r>
      <rPr>
        <i/>
        <sz val="11"/>
        <color theme="1"/>
        <rFont val="Aparajita"/>
        <family val="2"/>
      </rPr>
      <t xml:space="preserve"> + d</t>
    </r>
    <r>
      <rPr>
        <i/>
        <vertAlign val="superscript"/>
        <sz val="11"/>
        <color theme="1"/>
        <rFont val="Aparajita"/>
        <family val="2"/>
      </rPr>
      <t>2</t>
    </r>
    <r>
      <rPr>
        <i/>
        <sz val="11"/>
        <color theme="1"/>
        <rFont val="Aparajita"/>
        <family val="2"/>
      </rPr>
      <t xml:space="preserve"> + 2Rd</t>
    </r>
  </si>
  <si>
    <t>2Rd</t>
  </si>
  <si>
    <r>
      <t>d</t>
    </r>
    <r>
      <rPr>
        <i/>
        <vertAlign val="superscript"/>
        <sz val="11"/>
        <color theme="1"/>
        <rFont val="Aparajita"/>
        <family val="2"/>
      </rPr>
      <t>2</t>
    </r>
    <r>
      <rPr>
        <i/>
        <sz val="11"/>
        <color theme="1"/>
        <rFont val="Aparajita"/>
        <family val="2"/>
      </rPr>
      <t xml:space="preserve"> + x</t>
    </r>
    <r>
      <rPr>
        <i/>
        <vertAlign val="superscript"/>
        <sz val="11"/>
        <color theme="1"/>
        <rFont val="Aparajita"/>
        <family val="2"/>
      </rPr>
      <t>2</t>
    </r>
  </si>
  <si>
    <t>Reference Sketch</t>
  </si>
  <si>
    <t>R</t>
  </si>
  <si>
    <t>2d</t>
  </si>
  <si>
    <t>Half angle of the droop triangle</t>
  </si>
  <si>
    <t>(θ)</t>
  </si>
  <si>
    <r>
      <t>sin</t>
    </r>
    <r>
      <rPr>
        <i/>
        <vertAlign val="superscript"/>
        <sz val="11"/>
        <color theme="1"/>
        <rFont val="Aparajita"/>
        <family val="2"/>
      </rPr>
      <t>-1</t>
    </r>
    <r>
      <rPr>
        <i/>
        <sz val="11"/>
        <color theme="1"/>
        <rFont val="Aparajita"/>
        <family val="2"/>
      </rPr>
      <t>(x/R)</t>
    </r>
  </si>
  <si>
    <t>[in degrees]</t>
  </si>
  <si>
    <t>Therefore,</t>
  </si>
  <si>
    <t>Radius of segment for the required drooping</t>
  </si>
  <si>
    <t>(R)</t>
  </si>
  <si>
    <t>Total included angle of the segment for required drooping</t>
  </si>
  <si>
    <r>
      <t>(2</t>
    </r>
    <r>
      <rPr>
        <i/>
        <sz val="8"/>
        <color theme="1"/>
        <rFont val="Aparajita"/>
        <family val="2"/>
      </rPr>
      <t>θ</t>
    </r>
    <r>
      <rPr>
        <i/>
        <sz val="11"/>
        <color theme="1"/>
        <rFont val="Aparajita"/>
        <family val="2"/>
      </rPr>
      <t>)</t>
    </r>
  </si>
  <si>
    <t>Vertical distance</t>
  </si>
  <si>
    <t>(R-d)</t>
  </si>
  <si>
    <t>Correction due to the Last Node Mismatch</t>
  </si>
  <si>
    <t>Difference in distance (Obtained from STAAD)</t>
  </si>
  <si>
    <r>
      <t>(R</t>
    </r>
    <r>
      <rPr>
        <i/>
        <sz val="10"/>
        <color theme="1"/>
        <rFont val="Calibri Light"/>
        <family val="1"/>
        <scheme val="major"/>
      </rPr>
      <t>α)</t>
    </r>
  </si>
  <si>
    <t>Reduction in Total included angle</t>
  </si>
  <si>
    <t>(α)</t>
  </si>
  <si>
    <t>Net, Total included angle of the segment for required drooping</t>
  </si>
  <si>
    <r>
      <t>(2</t>
    </r>
    <r>
      <rPr>
        <i/>
        <sz val="8"/>
        <color theme="1"/>
        <rFont val="Aparajita"/>
        <family val="2"/>
      </rPr>
      <t>θ - α</t>
    </r>
    <r>
      <rPr>
        <i/>
        <sz val="11"/>
        <color theme="1"/>
        <rFont val="Aparajita"/>
        <family val="2"/>
      </rPr>
      <t>)</t>
    </r>
  </si>
  <si>
    <t>Overall depth of the section</t>
  </si>
  <si>
    <r>
      <t>(h</t>
    </r>
    <r>
      <rPr>
        <i/>
        <sz val="10"/>
        <color theme="1"/>
        <rFont val="Calibri Light"/>
        <family val="1"/>
        <scheme val="major"/>
      </rPr>
      <t>)</t>
    </r>
  </si>
  <si>
    <t>Floor plate slope in degrees</t>
  </si>
  <si>
    <r>
      <t>(</t>
    </r>
    <r>
      <rPr>
        <i/>
        <sz val="10"/>
        <color theme="1"/>
        <rFont val="Cambria"/>
        <family val="1"/>
      </rPr>
      <t>β</t>
    </r>
    <r>
      <rPr>
        <i/>
        <sz val="10"/>
        <color theme="1"/>
        <rFont val="Calibri Light"/>
        <family val="1"/>
        <scheme val="major"/>
      </rPr>
      <t>)</t>
    </r>
  </si>
  <si>
    <t>Vertical height/Offset distance at column</t>
  </si>
  <si>
    <r>
      <t>(h'</t>
    </r>
    <r>
      <rPr>
        <i/>
        <sz val="10"/>
        <color theme="1"/>
        <rFont val="Calibri Light"/>
        <family val="1"/>
        <scheme val="major"/>
      </rPr>
      <t>)</t>
    </r>
  </si>
  <si>
    <t>Pass : EngPro</t>
  </si>
  <si>
    <t>a</t>
  </si>
  <si>
    <t>b</t>
  </si>
  <si>
    <t>c</t>
  </si>
  <si>
    <t>f</t>
  </si>
  <si>
    <t>g</t>
  </si>
  <si>
    <t>h</t>
  </si>
  <si>
    <t>i</t>
  </si>
  <si>
    <t>j</t>
  </si>
  <si>
    <t>k</t>
  </si>
  <si>
    <t>l</t>
  </si>
  <si>
    <t>m</t>
  </si>
  <si>
    <t>n</t>
  </si>
  <si>
    <t>o</t>
  </si>
  <si>
    <t>p</t>
  </si>
  <si>
    <t>q</t>
  </si>
  <si>
    <t>r</t>
  </si>
  <si>
    <t>s</t>
  </si>
  <si>
    <t>t</t>
  </si>
  <si>
    <t>u</t>
  </si>
  <si>
    <t>v</t>
  </si>
  <si>
    <t>w</t>
  </si>
  <si>
    <t>y</t>
  </si>
  <si>
    <t>z</t>
  </si>
  <si>
    <t>D</t>
  </si>
  <si>
    <t>W</t>
  </si>
  <si>
    <t>STAAD Origin for Thickener Structure:</t>
  </si>
  <si>
    <t>Structure Geometry:</t>
  </si>
  <si>
    <t>Slope of the Floor/Radial Beam</t>
  </si>
  <si>
    <t>Slope of the Underflow Cone</t>
  </si>
  <si>
    <t>Angle of the First Radial Beam with STAAD Positive X-Axis</t>
  </si>
  <si>
    <t>Number of Radial Beams</t>
  </si>
  <si>
    <t>Number of Columns per Radial Beam</t>
  </si>
  <si>
    <t>Notes:</t>
  </si>
  <si>
    <t>1.</t>
  </si>
  <si>
    <t>Column heights can be varied by making reference to the bottom of column with respect to y-ordinate of Origin</t>
  </si>
  <si>
    <t>2.</t>
  </si>
  <si>
    <t>Centre column bottom shall always be same as y-ordinate of the Origin</t>
  </si>
  <si>
    <t>Diameter of the Underflow Cone</t>
  </si>
  <si>
    <t>Diameter of the Centre Column</t>
  </si>
  <si>
    <t>Inner Diameter of the Cap Plate</t>
  </si>
  <si>
    <t>Outer Diameter of the Cap Plate</t>
  </si>
  <si>
    <t>Outer Diameter of the Base Plate</t>
  </si>
  <si>
    <t>Inner Diameter of the Base Plate</t>
  </si>
  <si>
    <t>Design Droop depth</t>
  </si>
  <si>
    <t>Calculated Radius of the Droop</t>
  </si>
  <si>
    <t>Diameter of the Thickener Tank</t>
  </si>
  <si>
    <t>Calculated Height of the Underflow Cone</t>
  </si>
  <si>
    <t>Diameter of the Compression Ring</t>
  </si>
  <si>
    <t>Calculated Width of the Compression Ring</t>
  </si>
  <si>
    <t>Height of Compression Ring - Vertical Annulus</t>
  </si>
  <si>
    <t>Height of the Tank Wall (Including Free Board)</t>
  </si>
  <si>
    <t>Free Board</t>
  </si>
  <si>
    <t>Width of the Launder</t>
  </si>
  <si>
    <t>Height of the Launder</t>
  </si>
  <si>
    <t>Calculated Included Angle (Total) of the Droop</t>
  </si>
  <si>
    <t>Calculated Angle of Each Thickener Segment in Plan</t>
  </si>
  <si>
    <t>Optional Elements</t>
  </si>
  <si>
    <t>Calculated Half-Chord Length for Each Segment</t>
  </si>
  <si>
    <t>Limiting Aspect Ratio for Plate Modelling</t>
  </si>
  <si>
    <t>Maximum Dimension of the Plate Elements</t>
  </si>
  <si>
    <t>Column Positions:</t>
  </si>
  <si>
    <t>Sl. No.</t>
  </si>
  <si>
    <t>Description</t>
  </si>
  <si>
    <t>PCD (m)</t>
  </si>
  <si>
    <t>EL of Column Bottom (m)</t>
  </si>
  <si>
    <t>Cross Bracing</t>
  </si>
  <si>
    <t>Radial Bracing</t>
  </si>
  <si>
    <t>PCD1</t>
  </si>
  <si>
    <t>PCD2</t>
  </si>
  <si>
    <t>Elevated Terrains Consulting Engineers</t>
  </si>
  <si>
    <t>Thickener STAAD File Generation</t>
  </si>
  <si>
    <t>Height of the Centre Column (Below UF Interface)</t>
  </si>
  <si>
    <t>Height of the Centre Column (Above UF Interface)</t>
  </si>
  <si>
    <t>Known Issues:</t>
  </si>
  <si>
    <t>When the droop becomes equal to zero, the program cannot generate the structure.</t>
  </si>
  <si>
    <t>Use a droop value closest to zero. Issue will be addressed in the next version release.</t>
  </si>
  <si>
    <t>Version History of the Template</t>
  </si>
  <si>
    <t>Pass: EngPro</t>
  </si>
  <si>
    <t>Version History:</t>
  </si>
  <si>
    <t>Version</t>
  </si>
  <si>
    <t>Description of Change</t>
  </si>
  <si>
    <t>Issued Date</t>
  </si>
  <si>
    <t>Remarks</t>
  </si>
  <si>
    <t>First Release</t>
  </si>
  <si>
    <t>Issue Description</t>
  </si>
  <si>
    <t>Work Arounds</t>
  </si>
  <si>
    <t>At the interface of wall and floor plate (droop), for a higher droop value, interconnection cannot be formed.</t>
  </si>
  <si>
    <t>Generally, higher droops are NOT required. Hence, this may be rectified in future.</t>
  </si>
  <si>
    <t>At transitions, if number of divisions are less than number of transitions required, results will be unexpected.</t>
  </si>
  <si>
    <t>This is observed to be a very rare case. However, this issue will be addressed in the next release.</t>
  </si>
  <si>
    <t>Geometry generation with respect to custom origin location is improper.</t>
  </si>
  <si>
    <t>Currently, the origin node input cells are locked to restrict the user to use default origin i.e., (0,0,0)</t>
  </si>
  <si>
    <t>Some of the Floor and Wall plates reported to be warped plates.</t>
  </si>
  <si>
    <t>Start Position</t>
  </si>
  <si>
    <t>Pattern</t>
  </si>
  <si>
    <t>Alternate</t>
  </si>
  <si>
    <t>Skip 2 Bays</t>
  </si>
  <si>
    <t>Miscellaneous Calcs:</t>
  </si>
  <si>
    <t>Overall depth of the radial beam</t>
  </si>
  <si>
    <t>Offset for the radial beam</t>
  </si>
  <si>
    <t>VBA Code Modified</t>
  </si>
  <si>
    <t>VBA Code updated for floor plate modelling to incorporate symmetric plate configuration.</t>
  </si>
  <si>
    <t>Yes</t>
  </si>
  <si>
    <t>PCD3</t>
  </si>
  <si>
    <t>Transitions are Modified to Complete Triangular Pattern.</t>
  </si>
  <si>
    <t>Transitions are Modified.</t>
  </si>
  <si>
    <t>This issue is observed to be specific to a particular STAAD.Pro version. So no work around is needed and the model generated by the spreadsheet is fine.</t>
  </si>
  <si>
    <t>Check Boxes Linked</t>
  </si>
  <si>
    <t>Optional Components are Linked to Check Boxes.</t>
  </si>
  <si>
    <t>Transitions are Modified. Custom Support Conditions are Added.</t>
  </si>
  <si>
    <t>Reduced Transition is Implemented. User is Now has the Option to Choose the Support Condition.</t>
  </si>
  <si>
    <t>Plates</t>
  </si>
  <si>
    <t>Radial Beams</t>
  </si>
  <si>
    <t>Columns</t>
  </si>
  <si>
    <t>Cross Bracings</t>
  </si>
  <si>
    <t>Radial Bracings</t>
  </si>
  <si>
    <t>Database</t>
  </si>
  <si>
    <t>Shape</t>
  </si>
  <si>
    <t>Type</t>
  </si>
  <si>
    <t>Grade</t>
  </si>
  <si>
    <t>A36</t>
  </si>
  <si>
    <t>A572</t>
  </si>
  <si>
    <t>S275JR</t>
  </si>
  <si>
    <t>E355B</t>
  </si>
  <si>
    <t>Q345B</t>
  </si>
  <si>
    <t>Profile</t>
  </si>
  <si>
    <t>Plates Thickness</t>
  </si>
  <si>
    <t>I Sections</t>
  </si>
  <si>
    <t>Solid</t>
  </si>
  <si>
    <t>None</t>
  </si>
  <si>
    <t>ISMB300</t>
  </si>
  <si>
    <t>PIP26.3</t>
  </si>
  <si>
    <t>PIP36.5</t>
  </si>
  <si>
    <t>Indian</t>
  </si>
  <si>
    <t>IS2062</t>
  </si>
  <si>
    <r>
      <t>Material Properties:</t>
    </r>
    <r>
      <rPr>
        <u/>
        <sz val="8"/>
        <color theme="1"/>
        <rFont val="Tahoma"/>
        <family val="2"/>
      </rPr>
      <t xml:space="preserve"> [Yet to be Implemented]</t>
    </r>
  </si>
  <si>
    <r>
      <t>Section Profiles (Initialization):</t>
    </r>
    <r>
      <rPr>
        <u/>
        <sz val="8"/>
        <color theme="1"/>
        <rFont val="Tahoma"/>
        <family val="2"/>
      </rPr>
      <t xml:space="preserve"> [Yet to be Implemented]</t>
    </r>
  </si>
  <si>
    <t>Radial Bracings Incorporated.</t>
  </si>
  <si>
    <t>Now the Program Generates the Radial Bracings Also Automatically.</t>
  </si>
  <si>
    <t>Compression Ring Stiffeners Added. Bug in the Radial Bracing Generation is Fixed.</t>
  </si>
  <si>
    <t>Bug in the Calculation of Radial Bracings Intersection Point is Fixed.</t>
  </si>
  <si>
    <t>PCD of the Centre Column Bolts</t>
  </si>
  <si>
    <t>Number of Bolts at the Centre Column Base Plate</t>
  </si>
  <si>
    <r>
      <t>F</t>
    </r>
    <r>
      <rPr>
        <vertAlign val="subscript"/>
        <sz val="8"/>
        <color theme="1"/>
        <rFont val="Tahoma"/>
        <family val="2"/>
      </rPr>
      <t>y</t>
    </r>
    <r>
      <rPr>
        <sz val="8"/>
        <color theme="1"/>
        <rFont val="Tahoma"/>
        <family val="2"/>
      </rPr>
      <t xml:space="preserve"> (N/mm</t>
    </r>
    <r>
      <rPr>
        <vertAlign val="superscript"/>
        <sz val="8"/>
        <color theme="1"/>
        <rFont val="Tahoma"/>
        <family val="2"/>
      </rPr>
      <t>2</t>
    </r>
    <r>
      <rPr>
        <sz val="8"/>
        <color theme="1"/>
        <rFont val="Tahoma"/>
        <family val="2"/>
      </rPr>
      <t>)</t>
    </r>
  </si>
  <si>
    <r>
      <t>F</t>
    </r>
    <r>
      <rPr>
        <vertAlign val="subscript"/>
        <sz val="8"/>
        <color theme="1"/>
        <rFont val="Tahoma"/>
        <family val="2"/>
      </rPr>
      <t>u</t>
    </r>
    <r>
      <rPr>
        <sz val="8"/>
        <color theme="1"/>
        <rFont val="Tahoma"/>
        <family val="2"/>
      </rPr>
      <t xml:space="preserve"> (N/mm</t>
    </r>
    <r>
      <rPr>
        <vertAlign val="superscript"/>
        <sz val="8"/>
        <color theme="1"/>
        <rFont val="Tahoma"/>
        <family val="2"/>
      </rPr>
      <t>2</t>
    </r>
    <r>
      <rPr>
        <sz val="8"/>
        <color theme="1"/>
        <rFont val="Tahoma"/>
        <family val="2"/>
      </rPr>
      <t>)</t>
    </r>
  </si>
  <si>
    <t>No</t>
  </si>
  <si>
    <t>User Defined</t>
  </si>
  <si>
    <t>PCD4</t>
  </si>
  <si>
    <t>PCD5</t>
  </si>
  <si>
    <t>Currently 'Zero Droop' feature incorporated. Code Modularization is in progress.</t>
  </si>
  <si>
    <t>Code Modularization (In Progress)</t>
  </si>
  <si>
    <t>Thickener Generator v1.8</t>
  </si>
  <si>
    <t>Width of the Bridge</t>
  </si>
  <si>
    <t>Height of the Bridge</t>
  </si>
  <si>
    <t>Width of the Bridge Extension</t>
  </si>
  <si>
    <t>Length of the Bridge Extension (towards near end)</t>
  </si>
  <si>
    <t>Length of the Bridge Extension (towards far end)</t>
  </si>
  <si>
    <t>Height of the Bridge Extension (applicable for half-span type bridge)</t>
  </si>
  <si>
    <t>Height of the Stub Connected to Tank Wall</t>
  </si>
  <si>
    <t>Height of the Stub from the Top of Tank Wall</t>
  </si>
  <si>
    <t>Type of the Bridge</t>
  </si>
  <si>
    <t>Full Span</t>
  </si>
  <si>
    <t>Distance between extension frame supporting columns (on centre column)</t>
  </si>
  <si>
    <t>Angle of the Bridge Axis with reference to First Radial Beam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</si>
</sst>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3">
    <numFmt numFmtId="43" formatCode="_ * #,##0.00_ ;_ * \-#,##0.00_ ;_ * &quot;-&quot;??_ ;_ @_ "/>
    <numFmt numFmtId="164" formatCode="dd\-mmm\-yyyy"/>
    <numFmt numFmtId="165" formatCode="0&quot; m&quot;"/>
    <numFmt numFmtId="166" formatCode="0&quot; Nos.&quot;"/>
    <numFmt numFmtId="167" formatCode="0.00&quot;mm&quot;"/>
    <numFmt numFmtId="168" formatCode="0.000&quot; kN-m&quot;"/>
    <numFmt numFmtId="169" formatCode="0.000"/>
    <numFmt numFmtId="170" formatCode="0.000&quot; m&quot;"/>
    <numFmt numFmtId="171" formatCode="0.00&quot;MT&quot;"/>
    <numFmt numFmtId="172" formatCode="0.00000&quot;deg&quot;"/>
    <numFmt numFmtId="173" formatCode="0.0"/>
    <numFmt numFmtId="174" formatCode="0.0&quot;NB&quot;"/>
    <numFmt numFmtId="175" formatCode="0.00&quot;deg&quot;"/>
    <numFmt numFmtId="176" formatCode="0.00&quot;kN/m&quot;"/>
    <numFmt numFmtId="177" formatCode="0.000&quot;m&quot;"/>
    <numFmt numFmtId="178" formatCode="0.00&quot;°&quot;"/>
    <numFmt numFmtId="179" formatCode="0&quot; Nos&quot;"/>
    <numFmt numFmtId="180" formatCode="0.0&quot; m&quot;"/>
    <numFmt numFmtId="181" formatCode="0.0000&quot;°&quot;"/>
    <numFmt numFmtId="182" formatCode="0.00&quot; m&quot;"/>
    <numFmt numFmtId="183" formatCode="dd/mmm/yyyy"/>
    <numFmt numFmtId="184" formatCode="&quot;$&quot;#,##0\ ;\(&quot;$&quot;#,##0\)"/>
    <numFmt numFmtId="185" formatCode="0&quot; mm&quot;"/>
  </numFmts>
  <fonts count="36" x14ac:knownFonts="1">
    <font>
      <sz val="8"/>
      <color theme="1"/>
      <name val="Tahoma"/>
      <family val="2"/>
    </font>
    <font>
      <sz val="8"/>
      <color theme="1"/>
      <name val="Tahoma"/>
      <family val="2"/>
    </font>
    <font>
      <sz val="10"/>
      <color theme="1"/>
      <name val="Cambria"/>
      <family val="2"/>
    </font>
    <font>
      <sz val="11"/>
      <color theme="1"/>
      <name val="Aparajita"/>
      <family val="2"/>
    </font>
    <font>
      <sz val="11"/>
      <color theme="3"/>
      <name val="Aparajita"/>
      <family val="2"/>
    </font>
    <font>
      <b/>
      <u/>
      <sz val="11"/>
      <color theme="1"/>
      <name val="Aparajita"/>
      <family val="2"/>
    </font>
    <font>
      <i/>
      <sz val="11"/>
      <color theme="1"/>
      <name val="Aparajita"/>
      <family val="2"/>
    </font>
    <font>
      <i/>
      <sz val="10"/>
      <color theme="1"/>
      <name val="Cambria"/>
      <family val="2"/>
    </font>
    <font>
      <i/>
      <sz val="10"/>
      <color theme="1"/>
      <name val="Aparajita"/>
      <family val="2"/>
    </font>
    <font>
      <i/>
      <vertAlign val="superscript"/>
      <sz val="11"/>
      <color theme="1"/>
      <name val="Aparajita"/>
      <family val="2"/>
    </font>
    <font>
      <i/>
      <sz val="11"/>
      <color theme="1"/>
      <name val="Calibri"/>
      <family val="2"/>
    </font>
    <font>
      <i/>
      <u/>
      <sz val="11"/>
      <color theme="1"/>
      <name val="Aparajita"/>
      <family val="2"/>
    </font>
    <font>
      <i/>
      <sz val="8"/>
      <color theme="1"/>
      <name val="Cambria"/>
      <family val="1"/>
    </font>
    <font>
      <i/>
      <sz val="8"/>
      <color theme="1"/>
      <name val="Aparajita"/>
      <family val="2"/>
    </font>
    <font>
      <i/>
      <sz val="10"/>
      <color theme="1"/>
      <name val="Calibri Light"/>
      <family val="1"/>
      <scheme val="major"/>
    </font>
    <font>
      <i/>
      <sz val="10"/>
      <color theme="1"/>
      <name val="Cambria"/>
      <family val="1"/>
    </font>
    <font>
      <sz val="8"/>
      <color theme="3"/>
      <name val="Tahoma"/>
      <family val="2"/>
    </font>
    <font>
      <b/>
      <u/>
      <sz val="8"/>
      <color theme="1"/>
      <name val="Tahoma"/>
      <family val="2"/>
    </font>
    <font>
      <u/>
      <sz val="8"/>
      <color theme="1"/>
      <name val="Tahoma"/>
      <family val="2"/>
    </font>
    <font>
      <sz val="8"/>
      <color theme="3" tint="-0.249977111117893"/>
      <name val="Tahoma"/>
      <family val="2"/>
    </font>
    <font>
      <sz val="8"/>
      <color theme="7" tint="-0.249977111117893"/>
      <name val="Tahoma"/>
      <family val="2"/>
    </font>
    <font>
      <sz val="8"/>
      <color theme="1"/>
      <name val="Symbol"/>
      <family val="1"/>
      <charset val="2"/>
    </font>
    <font>
      <b/>
      <sz val="8"/>
      <color indexed="81"/>
      <name val="Tahoma"/>
      <family val="2"/>
    </font>
    <font>
      <sz val="8"/>
      <color indexed="81"/>
      <name val="Tahoma"/>
      <family val="2"/>
    </font>
    <font>
      <sz val="10"/>
      <color theme="3"/>
      <name val="Cambria"/>
      <family val="2"/>
    </font>
    <font>
      <sz val="8"/>
      <color theme="8" tint="-0.249977111117893"/>
      <name val="Tahoma"/>
      <family val="2"/>
    </font>
    <font>
      <sz val="10"/>
      <color theme="8" tint="-0.249977111117893"/>
      <name val="Cambria"/>
      <family val="2"/>
    </font>
    <font>
      <sz val="10"/>
      <color indexed="24"/>
      <name val="Arial"/>
      <family val="2"/>
    </font>
    <font>
      <sz val="10"/>
      <name val="Arial"/>
      <family val="2"/>
    </font>
    <font>
      <sz val="8"/>
      <color theme="8" tint="-0.499984740745262"/>
      <name val="Tahoma"/>
      <family val="2"/>
    </font>
    <font>
      <u/>
      <sz val="8"/>
      <color theme="8" tint="-0.499984740745262"/>
      <name val="Tahoma"/>
      <family val="2"/>
    </font>
    <font>
      <sz val="8"/>
      <color theme="4" tint="-0.499984740745262"/>
      <name val="Tahoma"/>
      <family val="2"/>
    </font>
    <font>
      <sz val="8"/>
      <color rgb="FF00B050"/>
      <name val="Tahoma"/>
      <family val="2"/>
    </font>
    <font>
      <sz val="8"/>
      <color rgb="FF000000"/>
      <name val="Segoe UI"/>
      <family val="2"/>
    </font>
    <font>
      <vertAlign val="superscript"/>
      <sz val="8"/>
      <color theme="1"/>
      <name val="Tahoma"/>
      <family val="2"/>
    </font>
    <font>
      <vertAlign val="subscript"/>
      <sz val="8"/>
      <color theme="1"/>
      <name val="Tahoma"/>
      <family val="2"/>
    </font>
  </fonts>
  <fills count="7">
    <fill>
      <patternFill patternType="none"/>
    </fill>
    <fill>
      <patternFill patternType="gray125"/>
    </fill>
    <fill>
      <patternFill patternType="solid">
        <fgColor rgb="FFF2C4A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59996337778862885"/>
        <bgColor indexed="64"/>
      </patternFill>
    </fill>
    <fill>
      <patternFill patternType="solid">
        <fgColor theme="0" tint="-0.249977111117893"/>
        <bgColor indexed="64"/>
      </patternFill>
    </fill>
  </fills>
  <borders count="3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style="thick">
        <color auto="1"/>
      </right>
      <top style="thin">
        <color auto="1"/>
      </top>
      <bottom/>
      <diagonal/>
    </border>
    <border>
      <left/>
      <right style="thick">
        <color auto="1"/>
      </right>
      <top/>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0" fontId="2" fillId="0" borderId="0"/>
    <xf numFmtId="43" fontId="1" fillId="0" borderId="0" applyFont="0" applyFill="0" applyBorder="0" applyAlignment="0" applyProtection="0"/>
    <xf numFmtId="3" fontId="27" fillId="0" borderId="0" applyFont="0" applyFill="0" applyBorder="0" applyAlignment="0" applyProtection="0"/>
    <xf numFmtId="184" fontId="27" fillId="0" borderId="0" applyFont="0" applyFill="0" applyBorder="0" applyAlignment="0" applyProtection="0"/>
    <xf numFmtId="0" fontId="27" fillId="0" borderId="0" applyFont="0" applyFill="0" applyBorder="0" applyAlignment="0" applyProtection="0"/>
    <xf numFmtId="2" fontId="27" fillId="0" borderId="0" applyFont="0" applyFill="0" applyBorder="0" applyAlignment="0" applyProtection="0"/>
    <xf numFmtId="0" fontId="28" fillId="0" borderId="0"/>
    <xf numFmtId="0" fontId="2" fillId="0" borderId="0"/>
    <xf numFmtId="0" fontId="1" fillId="0" borderId="0"/>
    <xf numFmtId="0" fontId="1" fillId="0" borderId="0"/>
    <xf numFmtId="0" fontId="1" fillId="0" borderId="0"/>
  </cellStyleXfs>
  <cellXfs count="408">
    <xf numFmtId="0" fontId="0" fillId="0" borderId="0" xfId="0"/>
    <xf numFmtId="0" fontId="3" fillId="0" borderId="1" xfId="1" applyFont="1" applyBorder="1" applyProtection="1">
      <protection hidden="1"/>
    </xf>
    <xf numFmtId="0" fontId="3" fillId="0" borderId="2" xfId="1" applyFont="1" applyBorder="1" applyAlignment="1" applyProtection="1">
      <alignment horizontal="center"/>
      <protection hidden="1"/>
    </xf>
    <xf numFmtId="0" fontId="3" fillId="0" borderId="0" xfId="1" applyFont="1" applyProtection="1">
      <protection hidden="1"/>
    </xf>
    <xf numFmtId="0" fontId="3" fillId="0" borderId="5" xfId="1" applyFont="1" applyBorder="1" applyProtection="1">
      <protection hidden="1"/>
    </xf>
    <xf numFmtId="0" fontId="3" fillId="0" borderId="6" xfId="1" applyFont="1" applyBorder="1" applyProtection="1">
      <protection hidden="1"/>
    </xf>
    <xf numFmtId="0" fontId="3" fillId="0" borderId="7" xfId="1" applyFont="1" applyBorder="1" applyProtection="1">
      <protection hidden="1"/>
    </xf>
    <xf numFmtId="0" fontId="3" fillId="0" borderId="8" xfId="1" applyFont="1" applyBorder="1" applyProtection="1">
      <protection hidden="1"/>
    </xf>
    <xf numFmtId="0" fontId="3" fillId="0" borderId="9" xfId="1" applyFont="1" applyBorder="1" applyProtection="1">
      <protection hidden="1"/>
    </xf>
    <xf numFmtId="0" fontId="3" fillId="0" borderId="10" xfId="1" applyFont="1" applyBorder="1" applyProtection="1">
      <protection hidden="1"/>
    </xf>
    <xf numFmtId="0" fontId="3" fillId="0" borderId="11" xfId="1" applyFont="1" applyBorder="1" applyProtection="1">
      <protection hidden="1"/>
    </xf>
    <xf numFmtId="0" fontId="5" fillId="0" borderId="0" xfId="1" applyFont="1" applyProtection="1">
      <protection hidden="1"/>
    </xf>
    <xf numFmtId="0" fontId="3" fillId="0" borderId="0" xfId="1" applyFont="1" applyAlignment="1" applyProtection="1">
      <alignment horizontal="center"/>
      <protection hidden="1"/>
    </xf>
    <xf numFmtId="0" fontId="3" fillId="0" borderId="12" xfId="1" applyFont="1" applyBorder="1" applyProtection="1">
      <protection hidden="1"/>
    </xf>
    <xf numFmtId="0" fontId="6" fillId="0" borderId="0" xfId="1" applyFont="1" applyAlignment="1" applyProtection="1">
      <alignment horizontal="center"/>
      <protection hidden="1"/>
    </xf>
    <xf numFmtId="49" fontId="3" fillId="0" borderId="0" xfId="1" applyNumberFormat="1" applyFont="1" applyProtection="1">
      <protection hidden="1"/>
    </xf>
    <xf numFmtId="0" fontId="3" fillId="0" borderId="13" xfId="1" applyFont="1" applyBorder="1" applyProtection="1">
      <protection hidden="1"/>
    </xf>
    <xf numFmtId="0" fontId="3" fillId="0" borderId="14" xfId="1" applyFont="1" applyBorder="1" applyProtection="1">
      <protection hidden="1"/>
    </xf>
    <xf numFmtId="0" fontId="6" fillId="0" borderId="0" xfId="1" applyFont="1" applyProtection="1">
      <protection hidden="1"/>
    </xf>
    <xf numFmtId="0" fontId="8" fillId="0" borderId="1" xfId="1" applyFont="1" applyBorder="1" applyProtection="1">
      <protection hidden="1"/>
    </xf>
    <xf numFmtId="0" fontId="3" fillId="0" borderId="2" xfId="1" applyFont="1" applyBorder="1" applyProtection="1">
      <protection hidden="1"/>
    </xf>
    <xf numFmtId="0" fontId="6" fillId="0" borderId="2" xfId="1" applyFont="1" applyBorder="1" applyAlignment="1" applyProtection="1">
      <alignment horizontal="center"/>
      <protection hidden="1"/>
    </xf>
    <xf numFmtId="0" fontId="6" fillId="0" borderId="2" xfId="1" applyFont="1" applyBorder="1" applyProtection="1">
      <protection hidden="1"/>
    </xf>
    <xf numFmtId="0" fontId="3" fillId="0" borderId="3" xfId="1" applyFont="1" applyBorder="1" applyProtection="1">
      <protection hidden="1"/>
    </xf>
    <xf numFmtId="2" fontId="2" fillId="0" borderId="0" xfId="1" applyNumberFormat="1" applyAlignment="1" applyProtection="1">
      <alignment horizontal="center"/>
      <protection hidden="1"/>
    </xf>
    <xf numFmtId="2" fontId="2" fillId="0" borderId="12" xfId="1" applyNumberFormat="1" applyBorder="1" applyAlignment="1" applyProtection="1">
      <alignment horizontal="center"/>
      <protection hidden="1"/>
    </xf>
    <xf numFmtId="0" fontId="10" fillId="0" borderId="0" xfId="1" applyFont="1" applyProtection="1">
      <protection hidden="1"/>
    </xf>
    <xf numFmtId="2" fontId="3" fillId="0" borderId="0" xfId="1" applyNumberFormat="1" applyFont="1" applyAlignment="1" applyProtection="1">
      <alignment horizontal="center"/>
      <protection hidden="1"/>
    </xf>
    <xf numFmtId="1" fontId="3" fillId="0" borderId="0" xfId="1" applyNumberFormat="1" applyFont="1" applyAlignment="1" applyProtection="1">
      <alignment horizontal="center"/>
      <protection hidden="1"/>
    </xf>
    <xf numFmtId="1" fontId="2" fillId="0" borderId="0" xfId="1" applyNumberFormat="1" applyAlignment="1" applyProtection="1">
      <alignment horizontal="center"/>
      <protection hidden="1"/>
    </xf>
    <xf numFmtId="1" fontId="3" fillId="0" borderId="11" xfId="1" applyNumberFormat="1" applyFont="1" applyBorder="1" applyAlignment="1" applyProtection="1">
      <alignment horizontal="center"/>
      <protection hidden="1"/>
    </xf>
    <xf numFmtId="1" fontId="3" fillId="0" borderId="15" xfId="1" applyNumberFormat="1" applyFont="1" applyBorder="1" applyAlignment="1" applyProtection="1">
      <alignment horizontal="center"/>
      <protection hidden="1"/>
    </xf>
    <xf numFmtId="0" fontId="3" fillId="0" borderId="16" xfId="1" applyFont="1" applyBorder="1" applyProtection="1">
      <protection hidden="1"/>
    </xf>
    <xf numFmtId="168" fontId="3" fillId="0" borderId="16" xfId="1" applyNumberFormat="1" applyFont="1" applyBorder="1" applyAlignment="1" applyProtection="1">
      <alignment horizontal="left"/>
      <protection hidden="1"/>
    </xf>
    <xf numFmtId="0" fontId="3" fillId="0" borderId="17" xfId="1" applyFont="1" applyBorder="1" applyProtection="1">
      <protection hidden="1"/>
    </xf>
    <xf numFmtId="0" fontId="6" fillId="0" borderId="0" xfId="1" applyFont="1" applyAlignment="1" applyProtection="1">
      <alignment horizontal="left"/>
      <protection hidden="1"/>
    </xf>
    <xf numFmtId="169" fontId="3" fillId="0" borderId="0" xfId="1" applyNumberFormat="1" applyFont="1" applyAlignment="1" applyProtection="1">
      <alignment horizontal="left"/>
      <protection hidden="1"/>
    </xf>
    <xf numFmtId="170" fontId="3" fillId="0" borderId="0" xfId="1" applyNumberFormat="1" applyFont="1" applyAlignment="1" applyProtection="1">
      <alignment horizontal="left"/>
      <protection hidden="1"/>
    </xf>
    <xf numFmtId="0" fontId="12" fillId="0" borderId="0" xfId="1" applyFont="1" applyAlignment="1" applyProtection="1">
      <alignment horizontal="center"/>
      <protection hidden="1"/>
    </xf>
    <xf numFmtId="0" fontId="3" fillId="0" borderId="0" xfId="1" quotePrefix="1" applyFont="1" applyProtection="1">
      <protection hidden="1"/>
    </xf>
    <xf numFmtId="171" fontId="3" fillId="0" borderId="0" xfId="1" applyNumberFormat="1" applyFont="1" applyAlignment="1" applyProtection="1">
      <alignment horizontal="left"/>
      <protection hidden="1"/>
    </xf>
    <xf numFmtId="171" fontId="2" fillId="0" borderId="0" xfId="1" applyNumberFormat="1" applyAlignment="1" applyProtection="1">
      <alignment horizontal="left"/>
      <protection hidden="1"/>
    </xf>
    <xf numFmtId="171" fontId="6" fillId="0" borderId="0" xfId="1" applyNumberFormat="1" applyFont="1" applyAlignment="1" applyProtection="1">
      <alignment horizontal="center"/>
      <protection hidden="1"/>
    </xf>
    <xf numFmtId="171" fontId="6" fillId="0" borderId="0" xfId="1" applyNumberFormat="1" applyFont="1" applyAlignment="1" applyProtection="1">
      <alignment horizontal="left"/>
      <protection hidden="1"/>
    </xf>
    <xf numFmtId="0" fontId="11" fillId="0" borderId="0" xfId="1" applyFont="1" applyProtection="1">
      <protection hidden="1"/>
    </xf>
    <xf numFmtId="0" fontId="3" fillId="0" borderId="0" xfId="1" applyFont="1" applyAlignment="1" applyProtection="1">
      <alignment horizontal="center" vertical="center"/>
      <protection hidden="1"/>
    </xf>
    <xf numFmtId="173" fontId="3" fillId="0" borderId="0" xfId="1" applyNumberFormat="1" applyFont="1" applyAlignment="1" applyProtection="1">
      <alignment horizontal="center"/>
      <protection hidden="1"/>
    </xf>
    <xf numFmtId="0" fontId="14" fillId="0" borderId="0" xfId="1" applyFont="1" applyAlignment="1" applyProtection="1">
      <alignment horizontal="center"/>
      <protection hidden="1"/>
    </xf>
    <xf numFmtId="173" fontId="3" fillId="0" borderId="0" xfId="1" applyNumberFormat="1" applyFont="1" applyAlignment="1" applyProtection="1">
      <alignment horizontal="left"/>
      <protection hidden="1"/>
    </xf>
    <xf numFmtId="0" fontId="2" fillId="0" borderId="0" xfId="1" applyAlignment="1" applyProtection="1">
      <alignment horizontal="left"/>
      <protection hidden="1"/>
    </xf>
    <xf numFmtId="0" fontId="3" fillId="0" borderId="0" xfId="1" applyFont="1" applyAlignment="1" applyProtection="1">
      <alignment horizontal="left"/>
      <protection hidden="1"/>
    </xf>
    <xf numFmtId="174" fontId="3" fillId="0" borderId="0" xfId="1" applyNumberFormat="1" applyFont="1" applyAlignment="1" applyProtection="1">
      <alignment horizontal="left"/>
      <protection hidden="1"/>
    </xf>
    <xf numFmtId="174" fontId="2" fillId="0" borderId="0" xfId="1" applyNumberFormat="1" applyAlignment="1" applyProtection="1">
      <alignment horizontal="left"/>
      <protection hidden="1"/>
    </xf>
    <xf numFmtId="175" fontId="2" fillId="0" borderId="0" xfId="1" applyNumberFormat="1" applyAlignment="1" applyProtection="1">
      <alignment horizontal="left" indent="1"/>
      <protection hidden="1"/>
    </xf>
    <xf numFmtId="176" fontId="3" fillId="0" borderId="0" xfId="1" applyNumberFormat="1" applyFont="1" applyAlignment="1" applyProtection="1">
      <alignment horizontal="left"/>
      <protection hidden="1"/>
    </xf>
    <xf numFmtId="176" fontId="2" fillId="0" borderId="0" xfId="1" applyNumberFormat="1" applyAlignment="1" applyProtection="1">
      <alignment horizontal="left"/>
      <protection hidden="1"/>
    </xf>
    <xf numFmtId="0" fontId="3" fillId="0" borderId="18" xfId="1" applyFont="1" applyBorder="1" applyProtection="1">
      <protection hidden="1"/>
    </xf>
    <xf numFmtId="0" fontId="3" fillId="0" borderId="19" xfId="1" applyFont="1" applyBorder="1" applyAlignment="1" applyProtection="1">
      <alignment horizontal="center"/>
      <protection hidden="1"/>
    </xf>
    <xf numFmtId="49" fontId="3" fillId="0" borderId="19" xfId="1" applyNumberFormat="1" applyFont="1" applyBorder="1" applyProtection="1">
      <protection hidden="1"/>
    </xf>
    <xf numFmtId="0" fontId="3" fillId="0" borderId="19" xfId="1" applyFont="1" applyBorder="1" applyAlignment="1" applyProtection="1">
      <alignment horizontal="left"/>
      <protection hidden="1"/>
    </xf>
    <xf numFmtId="0" fontId="3" fillId="0" borderId="19" xfId="1" applyFont="1" applyBorder="1" applyProtection="1">
      <protection hidden="1"/>
    </xf>
    <xf numFmtId="0" fontId="3" fillId="0" borderId="20" xfId="1" applyFont="1" applyBorder="1" applyProtection="1">
      <protection hidden="1"/>
    </xf>
    <xf numFmtId="0" fontId="1" fillId="0" borderId="0" xfId="1" applyFont="1" applyAlignment="1" applyProtection="1">
      <alignment vertical="center"/>
      <protection hidden="1"/>
    </xf>
    <xf numFmtId="0" fontId="1" fillId="0" borderId="2" xfId="1" applyFont="1" applyBorder="1" applyAlignment="1" applyProtection="1">
      <alignment horizontal="center" vertical="center"/>
      <protection hidden="1"/>
    </xf>
    <xf numFmtId="0" fontId="1" fillId="0" borderId="1" xfId="1" applyFont="1" applyBorder="1" applyAlignment="1" applyProtection="1">
      <alignment vertical="center"/>
      <protection hidden="1"/>
    </xf>
    <xf numFmtId="0" fontId="18" fillId="0" borderId="0" xfId="1" applyFont="1" applyAlignment="1" applyProtection="1">
      <alignment vertical="center"/>
      <protection hidden="1"/>
    </xf>
    <xf numFmtId="0" fontId="1" fillId="0" borderId="11" xfId="1" applyFont="1" applyBorder="1" applyAlignment="1" applyProtection="1">
      <alignment vertical="center"/>
      <protection hidden="1"/>
    </xf>
    <xf numFmtId="0" fontId="1" fillId="0" borderId="12" xfId="1" applyFont="1" applyBorder="1" applyAlignment="1" applyProtection="1">
      <alignment vertical="center"/>
      <protection hidden="1"/>
    </xf>
    <xf numFmtId="0" fontId="19" fillId="0" borderId="0" xfId="1" applyFont="1" applyAlignment="1" applyProtection="1">
      <alignment vertical="center"/>
      <protection locked="0" hidden="1"/>
    </xf>
    <xf numFmtId="0" fontId="20" fillId="0" borderId="0" xfId="1" applyFont="1" applyAlignment="1" applyProtection="1">
      <alignment vertical="center"/>
      <protection locked="0" hidden="1"/>
    </xf>
    <xf numFmtId="0" fontId="1" fillId="0" borderId="0" xfId="1" applyFont="1" applyAlignment="1" applyProtection="1">
      <alignment vertical="center"/>
      <protection locked="0" hidden="1"/>
    </xf>
    <xf numFmtId="0" fontId="1" fillId="0" borderId="18" xfId="1" applyFont="1" applyBorder="1" applyAlignment="1" applyProtection="1">
      <alignment vertical="center"/>
      <protection hidden="1"/>
    </xf>
    <xf numFmtId="0" fontId="1" fillId="0" borderId="19" xfId="1" applyFont="1" applyBorder="1" applyAlignment="1" applyProtection="1">
      <alignment vertical="center"/>
      <protection hidden="1"/>
    </xf>
    <xf numFmtId="0" fontId="1" fillId="0" borderId="20" xfId="1" applyFont="1" applyBorder="1" applyAlignment="1" applyProtection="1">
      <alignment vertical="center"/>
      <protection hidden="1"/>
    </xf>
    <xf numFmtId="0" fontId="1" fillId="0" borderId="8" xfId="1" applyFont="1" applyBorder="1" applyAlignment="1" applyProtection="1">
      <alignment vertical="center"/>
      <protection hidden="1"/>
    </xf>
    <xf numFmtId="0" fontId="1" fillId="0" borderId="9" xfId="1" applyFont="1" applyBorder="1" applyAlignment="1" applyProtection="1">
      <alignment vertical="center"/>
      <protection hidden="1"/>
    </xf>
    <xf numFmtId="0" fontId="1" fillId="0" borderId="10" xfId="1" applyFont="1" applyBorder="1" applyAlignment="1" applyProtection="1">
      <alignment vertical="center"/>
      <protection hidden="1"/>
    </xf>
    <xf numFmtId="0" fontId="17" fillId="0" borderId="0" xfId="1" applyFont="1" applyAlignment="1" applyProtection="1">
      <alignment vertical="center"/>
      <protection hidden="1"/>
    </xf>
    <xf numFmtId="0" fontId="21" fillId="0" borderId="0" xfId="1" applyFont="1" applyAlignment="1" applyProtection="1">
      <alignment vertical="center"/>
      <protection hidden="1"/>
    </xf>
    <xf numFmtId="0" fontId="0" fillId="0" borderId="0" xfId="1" applyFont="1" applyAlignment="1" applyProtection="1">
      <alignment vertical="center"/>
      <protection hidden="1"/>
    </xf>
    <xf numFmtId="0" fontId="19" fillId="0" borderId="0" xfId="1" applyFont="1" applyAlignment="1" applyProtection="1">
      <alignment vertical="center"/>
      <protection locked="0"/>
    </xf>
    <xf numFmtId="0" fontId="20" fillId="0" borderId="0" xfId="1" applyFont="1" applyAlignment="1" applyProtection="1">
      <alignment vertical="center"/>
      <protection locked="0"/>
    </xf>
    <xf numFmtId="0" fontId="1" fillId="0" borderId="0" xfId="1" applyFont="1" applyAlignment="1" applyProtection="1">
      <alignment vertical="center"/>
      <protection locked="0"/>
    </xf>
    <xf numFmtId="0" fontId="1" fillId="0" borderId="1" xfId="1" applyFont="1" applyBorder="1" applyAlignment="1" applyProtection="1">
      <alignment horizontal="center" vertical="center"/>
      <protection hidden="1"/>
    </xf>
    <xf numFmtId="0" fontId="0" fillId="0" borderId="2" xfId="1" applyFont="1" applyBorder="1" applyAlignment="1" applyProtection="1">
      <alignment horizontal="center" vertical="center"/>
      <protection hidden="1"/>
    </xf>
    <xf numFmtId="0" fontId="0" fillId="0" borderId="1" xfId="1" applyFont="1" applyBorder="1" applyAlignment="1" applyProtection="1">
      <alignment horizontal="center" vertical="center"/>
      <protection hidden="1"/>
    </xf>
    <xf numFmtId="0" fontId="0" fillId="0" borderId="0" xfId="1" quotePrefix="1" applyFont="1" applyAlignment="1" applyProtection="1">
      <alignment vertical="center"/>
      <protection hidden="1"/>
    </xf>
    <xf numFmtId="0" fontId="1" fillId="0" borderId="2" xfId="1" applyFont="1" applyBorder="1" applyAlignment="1" applyProtection="1">
      <alignment vertical="center"/>
      <protection hidden="1"/>
    </xf>
    <xf numFmtId="0" fontId="0" fillId="0" borderId="3" xfId="1" applyFont="1" applyBorder="1" applyAlignment="1" applyProtection="1">
      <alignment horizontal="center" vertical="center"/>
      <protection hidden="1"/>
    </xf>
    <xf numFmtId="0" fontId="1" fillId="0" borderId="0" xfId="1" applyFont="1" applyAlignment="1" applyProtection="1">
      <alignment horizontal="left" vertical="center" indent="1"/>
      <protection hidden="1"/>
    </xf>
    <xf numFmtId="0" fontId="1" fillId="0" borderId="21" xfId="1" applyFont="1" applyBorder="1" applyAlignment="1" applyProtection="1">
      <alignment vertical="center"/>
      <protection hidden="1"/>
    </xf>
    <xf numFmtId="0" fontId="1" fillId="0" borderId="22" xfId="1" applyFont="1" applyBorder="1" applyAlignment="1" applyProtection="1">
      <alignment vertical="center"/>
      <protection hidden="1"/>
    </xf>
    <xf numFmtId="0" fontId="1" fillId="0" borderId="23" xfId="1" applyFont="1" applyBorder="1" applyAlignment="1" applyProtection="1">
      <alignment vertical="center"/>
      <protection hidden="1"/>
    </xf>
    <xf numFmtId="0" fontId="1" fillId="0" borderId="24" xfId="1" applyFont="1" applyBorder="1" applyAlignment="1" applyProtection="1">
      <alignment vertical="center"/>
      <protection hidden="1"/>
    </xf>
    <xf numFmtId="0" fontId="1" fillId="0" borderId="25" xfId="1" applyFont="1" applyBorder="1" applyAlignment="1" applyProtection="1">
      <alignment vertical="center"/>
      <protection hidden="1"/>
    </xf>
    <xf numFmtId="0" fontId="1" fillId="0" borderId="26" xfId="1" applyFont="1" applyBorder="1" applyAlignment="1" applyProtection="1">
      <alignment vertical="center"/>
      <protection hidden="1"/>
    </xf>
    <xf numFmtId="0" fontId="1" fillId="0" borderId="27" xfId="1" applyFont="1" applyBorder="1" applyAlignment="1" applyProtection="1">
      <alignment vertical="center"/>
      <protection hidden="1"/>
    </xf>
    <xf numFmtId="0" fontId="1" fillId="0" borderId="28" xfId="1" applyFont="1" applyBorder="1" applyAlignment="1" applyProtection="1">
      <alignment vertical="center"/>
      <protection hidden="1"/>
    </xf>
    <xf numFmtId="0" fontId="0" fillId="0" borderId="0" xfId="0" applyAlignment="1">
      <alignment vertical="center"/>
    </xf>
    <xf numFmtId="167" fontId="6" fillId="0" borderId="0" xfId="1" applyNumberFormat="1" applyFont="1" applyAlignment="1" applyProtection="1">
      <alignment horizontal="left" indent="1"/>
      <protection hidden="1"/>
    </xf>
    <xf numFmtId="167" fontId="7" fillId="0" borderId="0" xfId="1" applyNumberFormat="1" applyFont="1" applyAlignment="1" applyProtection="1">
      <alignment horizontal="left" indent="1"/>
      <protection hidden="1"/>
    </xf>
    <xf numFmtId="0" fontId="16" fillId="0" borderId="0" xfId="1" applyFont="1" applyAlignment="1" applyProtection="1">
      <alignment vertical="center"/>
      <protection locked="0" hidden="1"/>
    </xf>
    <xf numFmtId="164" fontId="1" fillId="0" borderId="29" xfId="1" applyNumberFormat="1" applyFont="1" applyBorder="1" applyAlignment="1" applyProtection="1">
      <alignment horizontal="left" vertical="center" indent="1"/>
      <protection hidden="1"/>
    </xf>
    <xf numFmtId="164" fontId="1" fillId="0" borderId="30" xfId="1" applyNumberFormat="1" applyFont="1" applyBorder="1" applyAlignment="1" applyProtection="1">
      <alignment horizontal="center" vertical="center"/>
      <protection hidden="1"/>
    </xf>
    <xf numFmtId="0" fontId="1" fillId="0" borderId="30" xfId="1" applyFont="1" applyBorder="1" applyAlignment="1" applyProtection="1">
      <alignment vertical="center"/>
      <protection hidden="1"/>
    </xf>
    <xf numFmtId="0" fontId="1" fillId="0" borderId="31" xfId="1" applyFont="1" applyBorder="1" applyAlignment="1" applyProtection="1">
      <alignment vertical="center"/>
      <protection hidden="1"/>
    </xf>
    <xf numFmtId="0" fontId="1" fillId="0" borderId="0" xfId="1" applyFont="1" applyAlignment="1" applyProtection="1">
      <alignment horizontal="center" vertical="center"/>
      <protection hidden="1"/>
    </xf>
    <xf numFmtId="0" fontId="2" fillId="0" borderId="0" xfId="1" applyAlignment="1" applyProtection="1">
      <alignment vertical="center"/>
      <protection hidden="1"/>
    </xf>
    <xf numFmtId="0" fontId="1" fillId="0" borderId="0" xfId="1" quotePrefix="1" applyFont="1" applyAlignment="1" applyProtection="1">
      <alignment vertical="center"/>
      <protection hidden="1"/>
    </xf>
    <xf numFmtId="0" fontId="24" fillId="0" borderId="0" xfId="1" applyFont="1" applyAlignment="1" applyProtection="1">
      <alignment vertical="center"/>
      <protection locked="0"/>
    </xf>
    <xf numFmtId="0" fontId="25" fillId="0" borderId="0" xfId="1" applyFont="1" applyAlignment="1" applyProtection="1">
      <alignment vertical="center"/>
      <protection locked="0" hidden="1"/>
    </xf>
    <xf numFmtId="0" fontId="26" fillId="0" borderId="0" xfId="1" applyFont="1" applyAlignment="1" applyProtection="1">
      <alignment vertical="center"/>
      <protection locked="0"/>
    </xf>
    <xf numFmtId="0" fontId="2" fillId="0" borderId="0" xfId="1" applyAlignment="1" applyProtection="1">
      <alignment vertical="center"/>
      <protection locked="0"/>
    </xf>
    <xf numFmtId="0" fontId="0" fillId="0" borderId="0" xfId="1" applyFont="1" applyAlignment="1" applyProtection="1">
      <alignment horizontal="center" vertical="center"/>
      <protection hidden="1"/>
    </xf>
    <xf numFmtId="0" fontId="0" fillId="0" borderId="0" xfId="0" applyAlignment="1">
      <alignment horizontal="center" vertical="center"/>
    </xf>
    <xf numFmtId="0" fontId="30" fillId="0" borderId="0" xfId="1" applyFont="1" applyAlignment="1" applyProtection="1">
      <alignment vertical="center"/>
      <protection hidden="1"/>
    </xf>
    <xf numFmtId="0" fontId="16" fillId="0" borderId="0" xfId="1" applyFont="1" applyAlignment="1" applyProtection="1">
      <alignment horizontal="center" vertical="center"/>
      <protection locked="0" hidden="1"/>
    </xf>
    <xf numFmtId="0" fontId="16" fillId="0" borderId="0" xfId="0" applyFont="1" applyAlignment="1">
      <alignment horizontal="center" vertical="center"/>
    </xf>
    <xf numFmtId="0" fontId="16" fillId="0" borderId="0" xfId="1" applyFont="1" applyAlignment="1" applyProtection="1">
      <alignment horizontal="left" vertical="center"/>
      <protection locked="0" hidden="1"/>
    </xf>
    <xf numFmtId="0" fontId="0" fillId="0" borderId="0" xfId="0" applyAlignment="1">
      <alignment horizontal="left" vertical="center"/>
    </xf>
    <xf numFmtId="0" fontId="1" fillId="0" borderId="4" xfId="1" applyFont="1" applyBorder="1" applyAlignment="1" applyProtection="1">
      <alignment horizontal="left" vertical="center"/>
      <protection hidden="1"/>
    </xf>
    <xf numFmtId="0" fontId="1" fillId="0" borderId="34" xfId="1" applyFont="1" applyBorder="1" applyAlignment="1" applyProtection="1">
      <alignment horizontal="left" vertical="center"/>
      <protection hidden="1"/>
    </xf>
    <xf numFmtId="0" fontId="18" fillId="0" borderId="0" xfId="0" applyFont="1" applyAlignment="1">
      <alignment horizontal="left" vertical="center"/>
    </xf>
    <xf numFmtId="0" fontId="0" fillId="0" borderId="1" xfId="1" applyFont="1" applyBorder="1" applyAlignment="1" applyProtection="1">
      <alignment horizontal="left" vertical="center" indent="1"/>
      <protection hidden="1"/>
    </xf>
    <xf numFmtId="0" fontId="0" fillId="0" borderId="2" xfId="1" applyFont="1" applyBorder="1" applyAlignment="1" applyProtection="1">
      <alignment horizontal="left" vertical="center" indent="1"/>
      <protection hidden="1"/>
    </xf>
    <xf numFmtId="0" fontId="0" fillId="0" borderId="2" xfId="0" applyBorder="1" applyAlignment="1">
      <alignment horizontal="left" vertical="center" indent="1"/>
    </xf>
    <xf numFmtId="0" fontId="0" fillId="0" borderId="3" xfId="0" applyBorder="1" applyAlignment="1">
      <alignment horizontal="left" vertical="center" indent="1"/>
    </xf>
    <xf numFmtId="0" fontId="0" fillId="0" borderId="33" xfId="0" applyBorder="1" applyAlignment="1" applyProtection="1">
      <alignment vertical="center"/>
      <protection hidden="1"/>
    </xf>
    <xf numFmtId="0" fontId="31" fillId="0" borderId="0" xfId="1" applyFont="1" applyAlignment="1" applyProtection="1">
      <alignment vertical="center"/>
      <protection hidden="1"/>
    </xf>
    <xf numFmtId="0" fontId="1" fillId="0" borderId="33" xfId="1" applyFont="1" applyBorder="1" applyAlignment="1" applyProtection="1">
      <alignment vertical="center"/>
      <protection hidden="1"/>
    </xf>
    <xf numFmtId="0" fontId="1" fillId="0" borderId="2" xfId="1" applyFont="1" applyBorder="1" applyAlignment="1" applyProtection="1">
      <alignment vertical="center"/>
      <protection hidden="1"/>
    </xf>
    <xf numFmtId="0" fontId="0" fillId="0" borderId="3" xfId="1" applyFont="1" applyBorder="1" applyAlignment="1" applyProtection="1">
      <alignment horizontal="center" vertical="center"/>
      <protection hidden="1"/>
    </xf>
    <xf numFmtId="0" fontId="0" fillId="0" borderId="1" xfId="1" applyFont="1" applyBorder="1" applyAlignment="1" applyProtection="1">
      <alignment horizontal="left" vertical="center" indent="1"/>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1" fillId="0" borderId="2" xfId="1" applyFont="1" applyBorder="1" applyAlignment="1" applyProtection="1">
      <alignment vertical="center"/>
      <protection hidden="1"/>
    </xf>
    <xf numFmtId="0" fontId="0" fillId="0" borderId="1" xfId="1" applyFont="1" applyBorder="1" applyAlignment="1" applyProtection="1">
      <alignment horizontal="left" vertical="center" indent="1"/>
      <protection hidden="1"/>
    </xf>
    <xf numFmtId="0" fontId="0" fillId="0" borderId="3" xfId="1" applyFont="1" applyBorder="1" applyAlignment="1" applyProtection="1">
      <alignment horizontal="center" vertical="center"/>
      <protection hidden="1"/>
    </xf>
    <xf numFmtId="0" fontId="32" fillId="0" borderId="1" xfId="0" applyFont="1" applyBorder="1" applyAlignment="1">
      <alignment horizontal="left" vertical="center" wrapText="1" indent="1"/>
    </xf>
    <xf numFmtId="0" fontId="32" fillId="0" borderId="2" xfId="0" applyFont="1" applyBorder="1" applyAlignment="1">
      <alignment horizontal="left" vertical="center" wrapText="1" indent="1"/>
    </xf>
    <xf numFmtId="0" fontId="32" fillId="0" borderId="3" xfId="0" applyFont="1" applyBorder="1" applyAlignment="1">
      <alignment horizontal="left" vertical="center" wrapText="1" indent="1"/>
    </xf>
    <xf numFmtId="0" fontId="29" fillId="6" borderId="1" xfId="1" applyFont="1" applyFill="1" applyBorder="1" applyAlignment="1" applyProtection="1">
      <alignment horizontal="left" vertical="center" wrapText="1" indent="1"/>
      <protection hidden="1"/>
    </xf>
    <xf numFmtId="0" fontId="0" fillId="0" borderId="2" xfId="0" applyBorder="1" applyAlignment="1">
      <alignment horizontal="left" vertical="center" wrapText="1" indent="1"/>
    </xf>
    <xf numFmtId="0" fontId="0" fillId="0" borderId="3" xfId="0" applyBorder="1" applyAlignment="1">
      <alignment horizontal="left" vertical="center" wrapText="1" indent="1"/>
    </xf>
    <xf numFmtId="0" fontId="0" fillId="0" borderId="8" xfId="1" applyFont="1" applyBorder="1" applyAlignment="1" applyProtection="1">
      <alignment horizontal="left" vertical="center" wrapText="1" indent="1"/>
      <protection hidden="1"/>
    </xf>
    <xf numFmtId="0" fontId="0" fillId="0" borderId="9" xfId="0" applyBorder="1" applyAlignment="1">
      <alignment horizontal="left" vertical="center" wrapText="1" indent="1"/>
    </xf>
    <xf numFmtId="0" fontId="0" fillId="0" borderId="10" xfId="0" applyBorder="1" applyAlignment="1">
      <alignment horizontal="left" vertical="center" wrapText="1" indent="1"/>
    </xf>
    <xf numFmtId="0" fontId="0" fillId="0" borderId="18" xfId="0" applyBorder="1" applyAlignment="1">
      <alignment horizontal="left" vertical="center" wrapText="1" indent="1"/>
    </xf>
    <xf numFmtId="0" fontId="0" fillId="0" borderId="19" xfId="0" applyBorder="1" applyAlignment="1">
      <alignment horizontal="left" vertical="center" wrapText="1" indent="1"/>
    </xf>
    <xf numFmtId="0" fontId="0" fillId="0" borderId="20" xfId="0" applyBorder="1" applyAlignment="1">
      <alignment horizontal="left" vertical="center" wrapText="1" indent="1"/>
    </xf>
    <xf numFmtId="0" fontId="0" fillId="0" borderId="11" xfId="0" applyBorder="1" applyAlignment="1">
      <alignment horizontal="left" vertical="center" wrapText="1" indent="1"/>
    </xf>
    <xf numFmtId="0" fontId="0" fillId="0" borderId="0" xfId="0" applyAlignment="1">
      <alignment horizontal="left" vertical="center" wrapText="1" indent="1"/>
    </xf>
    <xf numFmtId="0" fontId="0" fillId="0" borderId="12" xfId="0" applyBorder="1" applyAlignment="1">
      <alignment horizontal="left" vertical="center" wrapText="1" indent="1"/>
    </xf>
    <xf numFmtId="0" fontId="29" fillId="6" borderId="1" xfId="0" applyFont="1" applyFill="1" applyBorder="1" applyAlignment="1">
      <alignment horizontal="left" vertical="center" wrapText="1" indent="1"/>
    </xf>
    <xf numFmtId="0" fontId="29" fillId="6" borderId="2" xfId="0" applyFont="1" applyFill="1" applyBorder="1" applyAlignment="1">
      <alignment horizontal="left" vertical="center" wrapText="1" indent="1"/>
    </xf>
    <xf numFmtId="0" fontId="0" fillId="0" borderId="1" xfId="0" applyBorder="1" applyAlignment="1">
      <alignment horizontal="left" vertical="center" wrapText="1" indent="1"/>
    </xf>
    <xf numFmtId="0" fontId="0" fillId="0" borderId="32" xfId="1" applyFont="1" applyBorder="1" applyAlignment="1" applyProtection="1">
      <alignment horizontal="center" vertical="center" wrapText="1"/>
      <protection hidden="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4" xfId="1" applyFont="1" applyBorder="1" applyAlignment="1" applyProtection="1">
      <alignment horizontal="center" vertical="center" wrapText="1"/>
      <protection hidden="1"/>
    </xf>
    <xf numFmtId="0" fontId="0" fillId="0" borderId="4" xfId="0" applyBorder="1" applyAlignment="1">
      <alignment horizontal="center" vertical="center" wrapText="1"/>
    </xf>
    <xf numFmtId="0" fontId="29" fillId="6" borderId="4" xfId="1" applyFont="1" applyFill="1" applyBorder="1" applyAlignment="1" applyProtection="1">
      <alignment horizontal="center" vertical="center"/>
      <protection hidden="1"/>
    </xf>
    <xf numFmtId="0" fontId="29" fillId="6" borderId="4" xfId="0" applyFont="1" applyFill="1" applyBorder="1" applyAlignment="1">
      <alignment horizontal="center" vertical="center"/>
    </xf>
    <xf numFmtId="173" fontId="16" fillId="0" borderId="32" xfId="1" applyNumberFormat="1" applyFont="1" applyBorder="1" applyAlignment="1" applyProtection="1">
      <alignment horizontal="left" vertical="center" indent="1"/>
      <protection hidden="1"/>
    </xf>
    <xf numFmtId="0" fontId="1" fillId="0" borderId="34" xfId="1" applyFont="1" applyBorder="1" applyAlignment="1">
      <alignment horizontal="left" vertical="center" indent="1"/>
    </xf>
    <xf numFmtId="0" fontId="25" fillId="0" borderId="8" xfId="1" applyFont="1" applyBorder="1" applyAlignment="1" applyProtection="1">
      <alignment horizontal="left" vertical="center" wrapText="1" indent="1"/>
      <protection hidden="1"/>
    </xf>
    <xf numFmtId="0" fontId="1" fillId="0" borderId="9" xfId="1" applyFont="1" applyBorder="1" applyAlignment="1" applyProtection="1">
      <alignment horizontal="left" vertical="center" wrapText="1" indent="1"/>
      <protection hidden="1"/>
    </xf>
    <xf numFmtId="0" fontId="1" fillId="0" borderId="10" xfId="1" applyFont="1" applyBorder="1" applyAlignment="1" applyProtection="1">
      <alignment horizontal="left" vertical="center" wrapText="1" indent="1"/>
      <protection hidden="1"/>
    </xf>
    <xf numFmtId="0" fontId="1" fillId="0" borderId="18" xfId="1" applyFont="1" applyBorder="1" applyAlignment="1">
      <alignment horizontal="left" vertical="center" wrapText="1" indent="1"/>
    </xf>
    <xf numFmtId="0" fontId="1" fillId="0" borderId="19" xfId="1" applyFont="1" applyBorder="1" applyAlignment="1">
      <alignment horizontal="left" vertical="center" wrapText="1" indent="1"/>
    </xf>
    <xf numFmtId="0" fontId="1" fillId="0" borderId="20" xfId="1" applyFont="1" applyBorder="1" applyAlignment="1">
      <alignment horizontal="left" vertical="center" wrapText="1" indent="1"/>
    </xf>
    <xf numFmtId="183" fontId="16" fillId="0" borderId="32" xfId="1" applyNumberFormat="1" applyFont="1" applyBorder="1" applyAlignment="1" applyProtection="1">
      <alignment horizontal="left" vertical="center" indent="1"/>
      <protection hidden="1"/>
    </xf>
    <xf numFmtId="0" fontId="25" fillId="0" borderId="32" xfId="1" applyFont="1" applyBorder="1" applyAlignment="1" applyProtection="1">
      <alignment horizontal="left" vertical="center" wrapText="1" indent="1"/>
      <protection hidden="1"/>
    </xf>
    <xf numFmtId="0" fontId="1" fillId="0" borderId="32" xfId="1" applyFont="1" applyBorder="1" applyAlignment="1" applyProtection="1">
      <alignment horizontal="left" vertical="center" wrapText="1" indent="1"/>
      <protection hidden="1"/>
    </xf>
    <xf numFmtId="0" fontId="1" fillId="0" borderId="34" xfId="1" applyFont="1" applyBorder="1" applyAlignment="1">
      <alignment horizontal="left" vertical="center" wrapText="1" indent="1"/>
    </xf>
    <xf numFmtId="173" fontId="16" fillId="0" borderId="8" xfId="1" applyNumberFormat="1" applyFont="1" applyBorder="1" applyAlignment="1" applyProtection="1">
      <alignment horizontal="left" vertical="center" indent="1"/>
      <protection hidden="1"/>
    </xf>
    <xf numFmtId="173" fontId="16" fillId="0" borderId="9" xfId="1" applyNumberFormat="1" applyFont="1" applyBorder="1" applyAlignment="1" applyProtection="1">
      <alignment horizontal="left" vertical="center" indent="1"/>
      <protection hidden="1"/>
    </xf>
    <xf numFmtId="173" fontId="16" fillId="0" borderId="10" xfId="1" applyNumberFormat="1" applyFont="1" applyBorder="1" applyAlignment="1" applyProtection="1">
      <alignment horizontal="left" vertical="center" indent="1"/>
      <protection hidden="1"/>
    </xf>
    <xf numFmtId="0" fontId="1" fillId="0" borderId="18" xfId="1" applyFont="1" applyBorder="1" applyAlignment="1">
      <alignment horizontal="left" vertical="center" indent="1"/>
    </xf>
    <xf numFmtId="0" fontId="1" fillId="0" borderId="19" xfId="1" applyFont="1" applyBorder="1" applyAlignment="1">
      <alignment horizontal="left" vertical="center" indent="1"/>
    </xf>
    <xf numFmtId="0" fontId="1" fillId="0" borderId="20" xfId="1" applyFont="1" applyBorder="1" applyAlignment="1">
      <alignment horizontal="left" vertical="center" indent="1"/>
    </xf>
    <xf numFmtId="183" fontId="16" fillId="0" borderId="8" xfId="1" applyNumberFormat="1" applyFont="1" applyBorder="1" applyAlignment="1" applyProtection="1">
      <alignment horizontal="left" vertical="center" indent="1"/>
      <protection hidden="1"/>
    </xf>
    <xf numFmtId="183" fontId="16" fillId="0" borderId="9" xfId="1" applyNumberFormat="1" applyFont="1" applyBorder="1" applyAlignment="1" applyProtection="1">
      <alignment horizontal="left" vertical="center" indent="1"/>
      <protection hidden="1"/>
    </xf>
    <xf numFmtId="183" fontId="16" fillId="0" borderId="10" xfId="1" applyNumberFormat="1" applyFont="1" applyBorder="1" applyAlignment="1" applyProtection="1">
      <alignment horizontal="left" vertical="center" indent="1"/>
      <protection hidden="1"/>
    </xf>
    <xf numFmtId="0" fontId="25" fillId="0" borderId="32" xfId="1" applyFont="1" applyBorder="1" applyAlignment="1" applyProtection="1">
      <alignment horizontal="left" vertical="center" indent="1"/>
      <protection hidden="1"/>
    </xf>
    <xf numFmtId="0" fontId="1" fillId="0" borderId="32" xfId="1" applyFont="1" applyBorder="1" applyAlignment="1" applyProtection="1">
      <alignment horizontal="left" vertical="center" indent="1"/>
      <protection hidden="1"/>
    </xf>
    <xf numFmtId="173" fontId="24" fillId="0" borderId="9" xfId="1" applyNumberFormat="1" applyFont="1" applyBorder="1" applyAlignment="1" applyProtection="1">
      <alignment horizontal="left" vertical="center" indent="1"/>
      <protection hidden="1"/>
    </xf>
    <xf numFmtId="173" fontId="24" fillId="0" borderId="10" xfId="1" applyNumberFormat="1" applyFont="1" applyBorder="1" applyAlignment="1" applyProtection="1">
      <alignment horizontal="left" vertical="center" indent="1"/>
      <protection hidden="1"/>
    </xf>
    <xf numFmtId="0" fontId="2" fillId="0" borderId="18" xfId="1" applyBorder="1" applyAlignment="1">
      <alignment horizontal="left" vertical="center" indent="1"/>
    </xf>
    <xf numFmtId="0" fontId="2" fillId="0" borderId="19" xfId="1" applyBorder="1" applyAlignment="1">
      <alignment horizontal="left" vertical="center" indent="1"/>
    </xf>
    <xf numFmtId="0" fontId="2" fillId="0" borderId="20" xfId="1" applyBorder="1" applyAlignment="1">
      <alignment horizontal="left" vertical="center" indent="1"/>
    </xf>
    <xf numFmtId="0" fontId="25" fillId="0" borderId="8" xfId="1" applyFont="1" applyBorder="1" applyAlignment="1" applyProtection="1">
      <alignment horizontal="left" vertical="center" indent="1"/>
      <protection hidden="1"/>
    </xf>
    <xf numFmtId="0" fontId="2" fillId="0" borderId="9" xfId="1" applyBorder="1" applyAlignment="1" applyProtection="1">
      <alignment horizontal="left" vertical="center" indent="1"/>
      <protection hidden="1"/>
    </xf>
    <xf numFmtId="0" fontId="2" fillId="0" borderId="10" xfId="1" applyBorder="1" applyAlignment="1" applyProtection="1">
      <alignment horizontal="left" vertical="center" indent="1"/>
      <protection hidden="1"/>
    </xf>
    <xf numFmtId="183" fontId="24" fillId="0" borderId="9" xfId="1" applyNumberFormat="1" applyFont="1" applyBorder="1" applyAlignment="1" applyProtection="1">
      <alignment horizontal="left" vertical="center" indent="1"/>
      <protection hidden="1"/>
    </xf>
    <xf numFmtId="183" fontId="24" fillId="0" borderId="10" xfId="1" applyNumberFormat="1" applyFont="1" applyBorder="1" applyAlignment="1" applyProtection="1">
      <alignment horizontal="left" vertical="center" indent="1"/>
      <protection hidden="1"/>
    </xf>
    <xf numFmtId="0" fontId="2" fillId="0" borderId="9" xfId="1" applyBorder="1" applyAlignment="1" applyProtection="1">
      <alignment horizontal="left" vertical="center" wrapText="1" indent="1"/>
      <protection hidden="1"/>
    </xf>
    <xf numFmtId="0" fontId="2" fillId="0" borderId="10" xfId="1" applyBorder="1" applyAlignment="1" applyProtection="1">
      <alignment horizontal="left" vertical="center" wrapText="1" indent="1"/>
      <protection hidden="1"/>
    </xf>
    <xf numFmtId="0" fontId="2" fillId="0" borderId="18" xfId="1" applyBorder="1" applyAlignment="1">
      <alignment horizontal="left" vertical="center" wrapText="1" indent="1"/>
    </xf>
    <xf numFmtId="0" fontId="2" fillId="0" borderId="19" xfId="1" applyBorder="1" applyAlignment="1">
      <alignment horizontal="left" vertical="center" wrapText="1" indent="1"/>
    </xf>
    <xf numFmtId="0" fontId="2" fillId="0" borderId="20" xfId="1" applyBorder="1" applyAlignment="1">
      <alignment horizontal="left" vertical="center" wrapText="1" indent="1"/>
    </xf>
    <xf numFmtId="0" fontId="1" fillId="0" borderId="9" xfId="1" applyFont="1" applyBorder="1" applyAlignment="1" applyProtection="1">
      <alignment horizontal="left" vertical="center" indent="1"/>
      <protection hidden="1"/>
    </xf>
    <xf numFmtId="0" fontId="1" fillId="0" borderId="10" xfId="1" applyFont="1" applyBorder="1" applyAlignment="1" applyProtection="1">
      <alignment horizontal="left" vertical="center" indent="1"/>
      <protection hidden="1"/>
    </xf>
    <xf numFmtId="173" fontId="16" fillId="0" borderId="1" xfId="1" applyNumberFormat="1" applyFont="1" applyBorder="1" applyAlignment="1" applyProtection="1">
      <alignment horizontal="left" vertical="center" indent="1"/>
      <protection hidden="1"/>
    </xf>
    <xf numFmtId="173" fontId="24" fillId="0" borderId="2" xfId="1" applyNumberFormat="1" applyFont="1" applyBorder="1" applyAlignment="1" applyProtection="1">
      <alignment horizontal="left" vertical="center" indent="1"/>
      <protection hidden="1"/>
    </xf>
    <xf numFmtId="173" fontId="24" fillId="0" borderId="3" xfId="1" applyNumberFormat="1" applyFont="1" applyBorder="1" applyAlignment="1" applyProtection="1">
      <alignment horizontal="left" vertical="center" indent="1"/>
      <protection hidden="1"/>
    </xf>
    <xf numFmtId="0" fontId="25" fillId="0" borderId="1" xfId="1" applyFont="1" applyBorder="1" applyAlignment="1" applyProtection="1">
      <alignment horizontal="left" vertical="center" indent="1"/>
      <protection hidden="1"/>
    </xf>
    <xf numFmtId="0" fontId="2" fillId="0" borderId="2" xfId="1" applyBorder="1" applyAlignment="1" applyProtection="1">
      <alignment horizontal="left" vertical="center" indent="1"/>
      <protection hidden="1"/>
    </xf>
    <xf numFmtId="0" fontId="2" fillId="0" borderId="3" xfId="1" applyBorder="1" applyAlignment="1" applyProtection="1">
      <alignment horizontal="left" vertical="center" indent="1"/>
      <protection hidden="1"/>
    </xf>
    <xf numFmtId="183" fontId="16" fillId="0" borderId="1" xfId="1" applyNumberFormat="1" applyFont="1" applyBorder="1" applyAlignment="1" applyProtection="1">
      <alignment horizontal="left" vertical="center" indent="1"/>
      <protection hidden="1"/>
    </xf>
    <xf numFmtId="183" fontId="24" fillId="0" borderId="2" xfId="1" applyNumberFormat="1" applyFont="1" applyBorder="1" applyAlignment="1" applyProtection="1">
      <alignment horizontal="left" vertical="center" indent="1"/>
      <protection hidden="1"/>
    </xf>
    <xf numFmtId="183" fontId="24" fillId="0" borderId="3" xfId="1" applyNumberFormat="1" applyFont="1" applyBorder="1" applyAlignment="1" applyProtection="1">
      <alignment horizontal="left" vertical="center" indent="1"/>
      <protection hidden="1"/>
    </xf>
    <xf numFmtId="0" fontId="1" fillId="0" borderId="2" xfId="1" applyFont="1" applyBorder="1" applyAlignment="1" applyProtection="1">
      <alignment vertical="center"/>
      <protection hidden="1"/>
    </xf>
    <xf numFmtId="0" fontId="16" fillId="0" borderId="2" xfId="1" applyFont="1" applyBorder="1" applyAlignment="1" applyProtection="1">
      <alignment vertical="center"/>
      <protection hidden="1"/>
    </xf>
    <xf numFmtId="0" fontId="16" fillId="0" borderId="3" xfId="1" applyFont="1" applyBorder="1" applyAlignment="1" applyProtection="1">
      <alignment vertical="center"/>
      <protection hidden="1"/>
    </xf>
    <xf numFmtId="0" fontId="0" fillId="3" borderId="1" xfId="1" applyFont="1" applyFill="1" applyBorder="1" applyAlignment="1" applyProtection="1">
      <alignment horizontal="center" vertical="center"/>
      <protection hidden="1"/>
    </xf>
    <xf numFmtId="0" fontId="1" fillId="3" borderId="2" xfId="1" applyFont="1" applyFill="1" applyBorder="1" applyAlignment="1" applyProtection="1">
      <alignment horizontal="center" vertical="center"/>
      <protection hidden="1"/>
    </xf>
    <xf numFmtId="0" fontId="1" fillId="3" borderId="3" xfId="1" applyFont="1" applyFill="1" applyBorder="1" applyAlignment="1" applyProtection="1">
      <alignment horizontal="center" vertical="center"/>
      <protection hidden="1"/>
    </xf>
    <xf numFmtId="164" fontId="1" fillId="0" borderId="4" xfId="1" applyNumberFormat="1" applyFont="1" applyBorder="1" applyAlignment="1" applyProtection="1">
      <alignment horizontal="center" vertical="center"/>
      <protection hidden="1"/>
    </xf>
    <xf numFmtId="0" fontId="16" fillId="6" borderId="1" xfId="1" applyFont="1" applyFill="1" applyBorder="1" applyAlignment="1" applyProtection="1">
      <alignment horizontal="left" vertical="center" indent="1"/>
      <protection hidden="1"/>
    </xf>
    <xf numFmtId="0" fontId="24" fillId="6" borderId="2" xfId="1" applyFont="1" applyFill="1" applyBorder="1" applyAlignment="1" applyProtection="1">
      <alignment horizontal="left" vertical="center" indent="1"/>
      <protection hidden="1"/>
    </xf>
    <xf numFmtId="0" fontId="24" fillId="6" borderId="3" xfId="1" applyFont="1" applyFill="1" applyBorder="1" applyAlignment="1" applyProtection="1">
      <alignment horizontal="left" vertical="center" indent="1"/>
      <protection hidden="1"/>
    </xf>
    <xf numFmtId="0" fontId="25" fillId="6" borderId="1" xfId="1" applyFont="1" applyFill="1" applyBorder="1" applyAlignment="1" applyProtection="1">
      <alignment horizontal="left" vertical="center" indent="1"/>
      <protection hidden="1"/>
    </xf>
    <xf numFmtId="0" fontId="2" fillId="6" borderId="2" xfId="1" applyFill="1" applyBorder="1" applyAlignment="1" applyProtection="1">
      <alignment horizontal="left" vertical="center" indent="1"/>
      <protection hidden="1"/>
    </xf>
    <xf numFmtId="0" fontId="1" fillId="0" borderId="4" xfId="1" applyFont="1" applyBorder="1" applyAlignment="1" applyProtection="1">
      <alignment horizontal="center" vertical="center"/>
      <protection hidden="1"/>
    </xf>
    <xf numFmtId="0" fontId="1" fillId="0" borderId="3" xfId="1" applyFont="1" applyBorder="1" applyAlignment="1" applyProtection="1">
      <alignment vertical="center"/>
      <protection hidden="1"/>
    </xf>
    <xf numFmtId="0" fontId="1" fillId="0" borderId="1" xfId="1" applyFont="1" applyBorder="1" applyAlignment="1" applyProtection="1">
      <alignment vertical="center"/>
      <protection hidden="1"/>
    </xf>
    <xf numFmtId="0" fontId="1" fillId="0" borderId="2" xfId="1" applyFont="1" applyBorder="1" applyAlignment="1" applyProtection="1">
      <alignment horizontal="center" vertical="center"/>
      <protection hidden="1"/>
    </xf>
    <xf numFmtId="0" fontId="1" fillId="0" borderId="3" xfId="1" applyFont="1" applyBorder="1" applyAlignment="1" applyProtection="1">
      <alignment horizontal="center" vertical="center"/>
      <protection hidden="1"/>
    </xf>
    <xf numFmtId="0" fontId="3" fillId="0" borderId="2" xfId="1" applyFont="1" applyBorder="1" applyAlignment="1" applyProtection="1">
      <alignment horizontal="center"/>
      <protection locked="0"/>
    </xf>
    <xf numFmtId="0" fontId="3" fillId="0" borderId="3" xfId="1" applyFont="1" applyBorder="1" applyAlignment="1" applyProtection="1">
      <alignment horizontal="center"/>
      <protection locked="0"/>
    </xf>
    <xf numFmtId="0" fontId="3" fillId="0" borderId="4" xfId="1" applyFont="1" applyBorder="1" applyAlignment="1" applyProtection="1">
      <alignment horizontal="center"/>
      <protection hidden="1"/>
    </xf>
    <xf numFmtId="0" fontId="3" fillId="0" borderId="2" xfId="1" applyFont="1" applyBorder="1" applyProtection="1">
      <protection hidden="1"/>
    </xf>
    <xf numFmtId="0" fontId="4" fillId="0" borderId="2" xfId="1" applyFont="1" applyBorder="1" applyProtection="1">
      <protection locked="0"/>
    </xf>
    <xf numFmtId="0" fontId="4" fillId="0" borderId="3" xfId="1" applyFont="1" applyBorder="1" applyProtection="1">
      <protection locked="0"/>
    </xf>
    <xf numFmtId="0" fontId="3" fillId="0" borderId="2" xfId="1" applyFont="1" applyBorder="1" applyProtection="1">
      <protection locked="0"/>
    </xf>
    <xf numFmtId="0" fontId="3" fillId="0" borderId="3" xfId="1" applyFont="1" applyBorder="1" applyProtection="1">
      <protection locked="0"/>
    </xf>
    <xf numFmtId="0" fontId="3" fillId="0" borderId="1" xfId="1" applyFont="1" applyBorder="1" applyProtection="1">
      <protection hidden="1"/>
    </xf>
    <xf numFmtId="0" fontId="3" fillId="0" borderId="4" xfId="1" applyFont="1" applyBorder="1" applyAlignment="1" applyProtection="1">
      <alignment horizontal="center" vertical="center"/>
      <protection locked="0"/>
    </xf>
    <xf numFmtId="0" fontId="3" fillId="3" borderId="4" xfId="1" applyFont="1" applyFill="1" applyBorder="1" applyAlignment="1" applyProtection="1">
      <alignment horizontal="center" vertical="center"/>
      <protection hidden="1"/>
    </xf>
    <xf numFmtId="164" fontId="3" fillId="0" borderId="4" xfId="1" applyNumberFormat="1" applyFont="1" applyBorder="1" applyAlignment="1" applyProtection="1">
      <alignment horizontal="center" vertical="center"/>
      <protection locked="0"/>
    </xf>
    <xf numFmtId="164" fontId="3" fillId="0" borderId="4" xfId="1" applyNumberFormat="1" applyFont="1" applyBorder="1" applyAlignment="1" applyProtection="1">
      <alignment horizontal="center" vertical="center"/>
      <protection hidden="1"/>
    </xf>
    <xf numFmtId="167" fontId="6" fillId="0" borderId="0" xfId="1" applyNumberFormat="1" applyFont="1" applyAlignment="1" applyProtection="1">
      <alignment horizontal="left" indent="1"/>
      <protection hidden="1"/>
    </xf>
    <xf numFmtId="167" fontId="7" fillId="0" borderId="0" xfId="1" applyNumberFormat="1" applyFont="1" applyAlignment="1" applyProtection="1">
      <alignment horizontal="left" indent="1"/>
      <protection hidden="1"/>
    </xf>
    <xf numFmtId="167" fontId="6" fillId="0" borderId="4" xfId="1" applyNumberFormat="1" applyFont="1" applyBorder="1" applyAlignment="1">
      <alignment horizontal="left" indent="1"/>
    </xf>
    <xf numFmtId="167" fontId="7" fillId="0" borderId="4" xfId="1" applyNumberFormat="1" applyFont="1" applyBorder="1" applyAlignment="1">
      <alignment horizontal="left" indent="1"/>
    </xf>
    <xf numFmtId="165" fontId="6" fillId="0" borderId="4" xfId="1" applyNumberFormat="1" applyFont="1" applyBorder="1" applyAlignment="1">
      <alignment horizontal="left" indent="1"/>
    </xf>
    <xf numFmtId="165" fontId="7" fillId="0" borderId="4" xfId="1" applyNumberFormat="1" applyFont="1" applyBorder="1" applyAlignment="1">
      <alignment horizontal="left" indent="1"/>
    </xf>
    <xf numFmtId="166" fontId="6" fillId="0" borderId="4" xfId="1" applyNumberFormat="1" applyFont="1" applyBorder="1" applyAlignment="1">
      <alignment horizontal="left" indent="1"/>
    </xf>
    <xf numFmtId="166" fontId="7" fillId="0" borderId="4" xfId="1" applyNumberFormat="1" applyFont="1" applyBorder="1" applyAlignment="1">
      <alignment horizontal="left" indent="1"/>
    </xf>
    <xf numFmtId="0" fontId="11" fillId="0" borderId="0" xfId="1" applyFont="1" applyAlignment="1" applyProtection="1">
      <alignment horizontal="center"/>
      <protection hidden="1"/>
    </xf>
    <xf numFmtId="0" fontId="2" fillId="0" borderId="0" xfId="1" applyAlignment="1">
      <alignment horizontal="center"/>
    </xf>
    <xf numFmtId="0" fontId="6" fillId="0" borderId="8" xfId="1" applyFont="1" applyBorder="1" applyAlignment="1" applyProtection="1">
      <alignment horizontal="center" vertical="center"/>
      <protection hidden="1"/>
    </xf>
    <xf numFmtId="0" fontId="7" fillId="0" borderId="9" xfId="1" applyFont="1" applyBorder="1" applyAlignment="1" applyProtection="1">
      <alignment horizontal="center" vertical="center"/>
      <protection hidden="1"/>
    </xf>
    <xf numFmtId="0" fontId="7" fillId="0" borderId="18" xfId="1" applyFont="1" applyBorder="1" applyAlignment="1" applyProtection="1">
      <alignment horizontal="center" vertical="center"/>
      <protection hidden="1"/>
    </xf>
    <xf numFmtId="0" fontId="7" fillId="0" borderId="19" xfId="1" applyFont="1" applyBorder="1" applyAlignment="1" applyProtection="1">
      <alignment horizontal="center" vertical="center"/>
      <protection hidden="1"/>
    </xf>
    <xf numFmtId="0" fontId="6" fillId="0" borderId="9" xfId="1" applyFont="1" applyBorder="1" applyAlignment="1" applyProtection="1">
      <alignment horizontal="center" vertical="center"/>
      <protection hidden="1"/>
    </xf>
    <xf numFmtId="0" fontId="6" fillId="0" borderId="9" xfId="1" applyFont="1" applyBorder="1" applyAlignment="1" applyProtection="1">
      <alignment horizontal="center"/>
      <protection hidden="1"/>
    </xf>
    <xf numFmtId="0" fontId="7" fillId="0" borderId="9" xfId="1" applyFont="1" applyBorder="1" applyAlignment="1" applyProtection="1">
      <alignment horizontal="center"/>
      <protection hidden="1"/>
    </xf>
    <xf numFmtId="0" fontId="7" fillId="0" borderId="10" xfId="1" applyFont="1" applyBorder="1" applyAlignment="1" applyProtection="1">
      <alignment horizontal="center"/>
      <protection hidden="1"/>
    </xf>
    <xf numFmtId="0" fontId="6" fillId="0" borderId="19" xfId="1" applyFont="1" applyBorder="1" applyAlignment="1" applyProtection="1">
      <alignment horizontal="center"/>
      <protection hidden="1"/>
    </xf>
    <xf numFmtId="0" fontId="7" fillId="0" borderId="19" xfId="1" applyFont="1" applyBorder="1" applyAlignment="1" applyProtection="1">
      <alignment horizontal="center"/>
      <protection hidden="1"/>
    </xf>
    <xf numFmtId="0" fontId="7" fillId="0" borderId="20" xfId="1" applyFont="1" applyBorder="1" applyAlignment="1" applyProtection="1">
      <alignment horizontal="center"/>
      <protection hidden="1"/>
    </xf>
    <xf numFmtId="167" fontId="6" fillId="2" borderId="4" xfId="1" applyNumberFormat="1" applyFont="1" applyFill="1" applyBorder="1" applyAlignment="1" applyProtection="1">
      <alignment horizontal="left" indent="1"/>
      <protection locked="0"/>
    </xf>
    <xf numFmtId="167" fontId="7" fillId="2" borderId="4" xfId="1" applyNumberFormat="1" applyFont="1" applyFill="1" applyBorder="1" applyAlignment="1" applyProtection="1">
      <alignment horizontal="left" indent="1"/>
      <protection locked="0"/>
    </xf>
    <xf numFmtId="175" fontId="6" fillId="0" borderId="0" xfId="1" applyNumberFormat="1" applyFont="1" applyAlignment="1" applyProtection="1">
      <alignment horizontal="left" indent="1"/>
      <protection hidden="1"/>
    </xf>
    <xf numFmtId="0" fontId="2" fillId="0" borderId="0" xfId="1" applyAlignment="1">
      <alignment horizontal="left" indent="1"/>
    </xf>
    <xf numFmtId="167" fontId="6" fillId="0" borderId="0" xfId="1" applyNumberFormat="1" applyFont="1" applyAlignment="1">
      <alignment horizontal="left" indent="1"/>
    </xf>
    <xf numFmtId="167" fontId="7" fillId="0" borderId="0" xfId="1" applyNumberFormat="1" applyFont="1" applyAlignment="1">
      <alignment horizontal="left" indent="1"/>
    </xf>
    <xf numFmtId="0" fontId="2" fillId="0" borderId="0" xfId="1" applyAlignment="1" applyProtection="1">
      <alignment horizontal="left" indent="1"/>
      <protection hidden="1"/>
    </xf>
    <xf numFmtId="172" fontId="6" fillId="0" borderId="0" xfId="1" applyNumberFormat="1" applyFont="1" applyAlignment="1" applyProtection="1">
      <alignment horizontal="left" indent="1"/>
      <protection hidden="1"/>
    </xf>
    <xf numFmtId="172" fontId="7" fillId="0" borderId="0" xfId="1" applyNumberFormat="1" applyFont="1" applyAlignment="1" applyProtection="1">
      <alignment horizontal="left" indent="1"/>
      <protection hidden="1"/>
    </xf>
    <xf numFmtId="172" fontId="2" fillId="0" borderId="0" xfId="1" applyNumberFormat="1" applyAlignment="1" applyProtection="1">
      <alignment horizontal="left" indent="1"/>
      <protection hidden="1"/>
    </xf>
    <xf numFmtId="0" fontId="1" fillId="4" borderId="1" xfId="1" applyNumberFormat="1" applyFont="1" applyFill="1" applyBorder="1" applyAlignment="1" applyProtection="1">
      <alignment horizontal="left" vertical="center" indent="1"/>
      <protection locked="0"/>
    </xf>
    <xf numFmtId="0" fontId="1" fillId="4" borderId="2" xfId="1" applyNumberFormat="1" applyFont="1" applyFill="1" applyBorder="1" applyAlignment="1" applyProtection="1">
      <alignment horizontal="left" vertical="center" indent="1"/>
      <protection locked="0"/>
    </xf>
    <xf numFmtId="0" fontId="1" fillId="4" borderId="3" xfId="1" applyNumberFormat="1" applyFont="1" applyFill="1" applyBorder="1" applyAlignment="1" applyProtection="1">
      <alignment horizontal="left" vertical="center" indent="1"/>
      <protection locked="0"/>
    </xf>
    <xf numFmtId="170" fontId="1" fillId="4" borderId="1" xfId="1" applyNumberFormat="1" applyFont="1" applyFill="1" applyBorder="1" applyAlignment="1" applyProtection="1">
      <alignment horizontal="left" vertical="center" indent="1"/>
      <protection locked="0"/>
    </xf>
    <xf numFmtId="170" fontId="1" fillId="4" borderId="2" xfId="1" applyNumberFormat="1" applyFont="1" applyFill="1" applyBorder="1" applyAlignment="1" applyProtection="1">
      <alignment horizontal="left" vertical="center" indent="1"/>
      <protection locked="0"/>
    </xf>
    <xf numFmtId="170" fontId="1" fillId="4" borderId="3" xfId="1" applyNumberFormat="1" applyFont="1" applyFill="1" applyBorder="1" applyAlignment="1" applyProtection="1">
      <alignment horizontal="left" vertical="center" indent="1"/>
      <protection locked="0"/>
    </xf>
    <xf numFmtId="0" fontId="0" fillId="0" borderId="1" xfId="1" applyFont="1" applyBorder="1" applyAlignment="1" applyProtection="1">
      <alignment horizontal="left" vertical="center" indent="1"/>
      <protection hidden="1"/>
    </xf>
    <xf numFmtId="0" fontId="0" fillId="0" borderId="2" xfId="1" applyFont="1" applyBorder="1" applyAlignment="1" applyProtection="1">
      <alignment horizontal="left" vertical="center" indent="1"/>
      <protection hidden="1"/>
    </xf>
    <xf numFmtId="0" fontId="0" fillId="0" borderId="2" xfId="0" applyBorder="1" applyAlignment="1">
      <alignment horizontal="left" vertical="center" indent="1"/>
    </xf>
    <xf numFmtId="0" fontId="0" fillId="0" borderId="3" xfId="0" applyBorder="1" applyAlignment="1">
      <alignment horizontal="left" vertical="center" indent="1"/>
    </xf>
    <xf numFmtId="0" fontId="0" fillId="0" borderId="4" xfId="1" applyFont="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3" xfId="1" applyFont="1" applyBorder="1" applyAlignment="1" applyProtection="1">
      <alignment horizontal="left" vertical="center" indent="1"/>
      <protection hidden="1"/>
    </xf>
    <xf numFmtId="169" fontId="0" fillId="0" borderId="1" xfId="1" applyNumberFormat="1" applyFont="1" applyBorder="1" applyAlignment="1" applyProtection="1">
      <alignment horizontal="left" vertical="center" indent="1"/>
      <protection hidden="1"/>
    </xf>
    <xf numFmtId="169" fontId="0" fillId="0" borderId="2" xfId="1" applyNumberFormat="1" applyFont="1" applyBorder="1" applyAlignment="1" applyProtection="1">
      <alignment horizontal="left" vertical="center" indent="1"/>
      <protection hidden="1"/>
    </xf>
    <xf numFmtId="169" fontId="0" fillId="0" borderId="3" xfId="1" applyNumberFormat="1" applyFont="1" applyBorder="1" applyAlignment="1" applyProtection="1">
      <alignment horizontal="left" vertical="center" indent="1"/>
      <protection hidden="1"/>
    </xf>
    <xf numFmtId="0" fontId="0" fillId="0" borderId="2" xfId="0" applyBorder="1" applyAlignment="1" applyProtection="1">
      <alignment horizontal="left" vertical="center" indent="1"/>
      <protection hidden="1"/>
    </xf>
    <xf numFmtId="169" fontId="0" fillId="5" borderId="4" xfId="1" applyNumberFormat="1" applyFont="1" applyFill="1" applyBorder="1" applyAlignment="1" applyProtection="1">
      <alignment horizontal="left" vertical="center" indent="1"/>
      <protection locked="0"/>
    </xf>
    <xf numFmtId="0" fontId="0" fillId="5" borderId="4" xfId="0" applyFill="1" applyBorder="1" applyAlignment="1" applyProtection="1">
      <alignment horizontal="left" vertical="center" indent="1"/>
      <protection locked="0"/>
    </xf>
    <xf numFmtId="169" fontId="0" fillId="5" borderId="1" xfId="1" applyNumberFormat="1" applyFont="1" applyFill="1" applyBorder="1" applyAlignment="1" applyProtection="1">
      <alignment horizontal="left" vertical="center" indent="1"/>
      <protection locked="0"/>
    </xf>
    <xf numFmtId="0" fontId="0" fillId="5" borderId="1" xfId="1" applyFont="1" applyFill="1" applyBorder="1" applyAlignment="1" applyProtection="1">
      <alignment horizontal="left" vertical="center" indent="1"/>
      <protection locked="0"/>
    </xf>
    <xf numFmtId="0" fontId="0" fillId="5" borderId="2" xfId="1" applyFont="1" applyFill="1" applyBorder="1" applyAlignment="1" applyProtection="1">
      <alignment horizontal="left" vertical="center" indent="1"/>
      <protection locked="0"/>
    </xf>
    <xf numFmtId="0" fontId="0" fillId="5" borderId="3" xfId="1" applyFont="1" applyFill="1" applyBorder="1" applyAlignment="1" applyProtection="1">
      <alignment horizontal="left" vertical="center" indent="1"/>
      <protection locked="0"/>
    </xf>
    <xf numFmtId="169" fontId="0" fillId="0" borderId="1" xfId="1" applyNumberFormat="1"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4" xfId="1" applyFont="1" applyBorder="1" applyAlignment="1" applyProtection="1">
      <alignment horizontal="left" vertical="center" indent="1"/>
      <protection hidden="1"/>
    </xf>
    <xf numFmtId="0" fontId="0" fillId="0" borderId="4" xfId="0" applyBorder="1" applyAlignment="1" applyProtection="1">
      <alignment horizontal="left" vertical="center" indent="1"/>
      <protection hidden="1"/>
    </xf>
    <xf numFmtId="169" fontId="0" fillId="0" borderId="4" xfId="1" applyNumberFormat="1" applyFont="1" applyBorder="1" applyAlignment="1" applyProtection="1">
      <alignment horizontal="center" vertical="center"/>
      <protection hidden="1"/>
    </xf>
    <xf numFmtId="0" fontId="0" fillId="6" borderId="4" xfId="1" applyFont="1" applyFill="1" applyBorder="1" applyAlignment="1" applyProtection="1">
      <alignment horizontal="center" vertical="center"/>
      <protection hidden="1"/>
    </xf>
    <xf numFmtId="0" fontId="0" fillId="6" borderId="4" xfId="0" applyFill="1" applyBorder="1" applyAlignment="1">
      <alignment horizontal="center" vertical="center"/>
    </xf>
    <xf numFmtId="0" fontId="0" fillId="6" borderId="4" xfId="1" applyFont="1" applyFill="1" applyBorder="1" applyAlignment="1" applyProtection="1">
      <alignment horizontal="left" vertical="center" indent="1"/>
      <protection hidden="1"/>
    </xf>
    <xf numFmtId="0" fontId="0" fillId="6" borderId="4" xfId="0" applyFill="1" applyBorder="1" applyAlignment="1">
      <alignment horizontal="left" vertical="center" indent="1"/>
    </xf>
    <xf numFmtId="0" fontId="0" fillId="0" borderId="4" xfId="0" applyBorder="1" applyAlignment="1">
      <alignment horizontal="left" vertical="center" indent="1"/>
    </xf>
    <xf numFmtId="169" fontId="0" fillId="0" borderId="4" xfId="1" applyNumberFormat="1" applyFont="1" applyBorder="1" applyAlignment="1" applyProtection="1">
      <alignment horizontal="left" vertical="center" indent="1"/>
      <protection hidden="1"/>
    </xf>
    <xf numFmtId="0" fontId="0" fillId="6" borderId="1" xfId="1" applyFont="1" applyFill="1" applyBorder="1" applyAlignment="1" applyProtection="1">
      <alignment horizontal="left" vertical="center" indent="1"/>
      <protection hidden="1"/>
    </xf>
    <xf numFmtId="0" fontId="0" fillId="6" borderId="2" xfId="0" applyFill="1" applyBorder="1" applyAlignment="1">
      <alignment horizontal="left" vertical="center" indent="1"/>
    </xf>
    <xf numFmtId="185" fontId="0" fillId="5" borderId="1" xfId="1" applyNumberFormat="1" applyFont="1" applyFill="1" applyBorder="1" applyAlignment="1" applyProtection="1">
      <alignment horizontal="left" vertical="center" indent="1"/>
      <protection locked="0"/>
    </xf>
    <xf numFmtId="185" fontId="0" fillId="5" borderId="2" xfId="1" applyNumberFormat="1" applyFont="1" applyFill="1" applyBorder="1" applyAlignment="1" applyProtection="1">
      <alignment horizontal="left" vertical="center" indent="1"/>
      <protection locked="0"/>
    </xf>
    <xf numFmtId="0" fontId="0" fillId="5" borderId="2" xfId="0" applyFill="1" applyBorder="1" applyAlignment="1" applyProtection="1">
      <alignment horizontal="left" vertical="center" indent="1"/>
      <protection locked="0"/>
    </xf>
    <xf numFmtId="0" fontId="0" fillId="5" borderId="3" xfId="0" applyFill="1" applyBorder="1" applyAlignment="1" applyProtection="1">
      <alignment horizontal="left" vertical="center" indent="1"/>
      <protection locked="0"/>
    </xf>
    <xf numFmtId="0" fontId="0" fillId="0" borderId="1" xfId="1" applyFont="1" applyBorder="1" applyAlignment="1" applyProtection="1">
      <alignment horizontal="center" vertical="center"/>
      <protection hidden="1"/>
    </xf>
    <xf numFmtId="0" fontId="0" fillId="0" borderId="2" xfId="1" applyFont="1" applyBorder="1" applyAlignment="1" applyProtection="1">
      <alignment horizontal="center" vertical="center"/>
      <protection hidden="1"/>
    </xf>
    <xf numFmtId="0" fontId="0" fillId="0" borderId="3" xfId="1" applyFont="1" applyBorder="1" applyAlignment="1" applyProtection="1">
      <alignment horizontal="center" vertical="center"/>
      <protection hidden="1"/>
    </xf>
    <xf numFmtId="0" fontId="0" fillId="6" borderId="4" xfId="0" applyFill="1" applyBorder="1" applyAlignment="1" applyProtection="1">
      <alignment horizontal="center" vertical="center"/>
      <protection hidden="1"/>
    </xf>
    <xf numFmtId="0" fontId="0" fillId="0" borderId="4" xfId="1" applyFont="1" applyFill="1" applyBorder="1" applyAlignment="1" applyProtection="1">
      <alignment horizontal="left" vertical="center" indent="1"/>
      <protection hidden="1"/>
    </xf>
    <xf numFmtId="0" fontId="0" fillId="0" borderId="4" xfId="0" applyFill="1" applyBorder="1" applyAlignment="1" applyProtection="1">
      <alignment horizontal="left" vertical="center" indent="1"/>
      <protection hidden="1"/>
    </xf>
    <xf numFmtId="169" fontId="0" fillId="0" borderId="4" xfId="1" applyNumberFormat="1" applyFont="1" applyFill="1" applyBorder="1" applyAlignment="1" applyProtection="1">
      <alignment horizontal="center" vertical="center"/>
      <protection hidden="1"/>
    </xf>
    <xf numFmtId="169" fontId="0" fillId="0" borderId="4" xfId="0" applyNumberFormat="1" applyFill="1" applyBorder="1" applyAlignment="1" applyProtection="1">
      <alignment horizontal="center" vertical="center"/>
      <protection hidden="1"/>
    </xf>
    <xf numFmtId="0" fontId="0" fillId="0" borderId="4" xfId="1" applyFont="1"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169" fontId="0" fillId="0" borderId="1" xfId="1" applyNumberFormat="1" applyFont="1" applyFill="1" applyBorder="1" applyAlignment="1" applyProtection="1">
      <alignment horizontal="center" vertical="center"/>
      <protection hidden="1"/>
    </xf>
    <xf numFmtId="0" fontId="0" fillId="0" borderId="2" xfId="0" applyFill="1" applyBorder="1" applyAlignment="1" applyProtection="1">
      <alignment horizontal="center" vertical="center"/>
      <protection hidden="1"/>
    </xf>
    <xf numFmtId="0" fontId="0" fillId="0" borderId="3" xfId="0" applyFill="1" applyBorder="1" applyAlignment="1" applyProtection="1">
      <alignment horizontal="center" vertical="center"/>
      <protection hidden="1"/>
    </xf>
    <xf numFmtId="169" fontId="0" fillId="0" borderId="4" xfId="1" applyNumberFormat="1" applyFont="1" applyFill="1" applyBorder="1" applyAlignment="1" applyProtection="1">
      <alignment horizontal="left" vertical="center" indent="1"/>
      <protection hidden="1"/>
    </xf>
    <xf numFmtId="0" fontId="0" fillId="5" borderId="4" xfId="1" applyFont="1" applyFill="1" applyBorder="1" applyAlignment="1" applyProtection="1">
      <alignment horizontal="left" vertical="center" indent="1"/>
      <protection locked="0"/>
    </xf>
    <xf numFmtId="169" fontId="0" fillId="5" borderId="4" xfId="1" applyNumberFormat="1" applyFont="1" applyFill="1" applyBorder="1" applyAlignment="1" applyProtection="1">
      <alignment horizontal="center" vertical="center"/>
      <protection locked="0"/>
    </xf>
    <xf numFmtId="169" fontId="0" fillId="5" borderId="4" xfId="0" applyNumberFormat="1" applyFill="1" applyBorder="1" applyAlignment="1" applyProtection="1">
      <alignment horizontal="center" vertical="center"/>
      <protection locked="0"/>
    </xf>
    <xf numFmtId="0" fontId="0" fillId="5" borderId="4" xfId="1" applyFont="1"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169" fontId="0" fillId="5" borderId="1" xfId="1" applyNumberFormat="1" applyFont="1" applyFill="1" applyBorder="1" applyAlignment="1" applyProtection="1">
      <alignment horizontal="center" vertical="center"/>
      <protection locked="0"/>
    </xf>
    <xf numFmtId="169" fontId="0" fillId="5" borderId="2" xfId="1" applyNumberFormat="1" applyFont="1" applyFill="1" applyBorder="1" applyAlignment="1" applyProtection="1">
      <alignment horizontal="center" vertical="center"/>
      <protection locked="0"/>
    </xf>
    <xf numFmtId="169" fontId="0" fillId="5" borderId="3" xfId="1" applyNumberFormat="1" applyFont="1" applyFill="1" applyBorder="1" applyAlignment="1" applyProtection="1">
      <alignment horizontal="center" vertical="center"/>
      <protection locked="0"/>
    </xf>
    <xf numFmtId="0" fontId="0" fillId="5" borderId="1" xfId="1" applyFont="1" applyFill="1" applyBorder="1" applyAlignment="1" applyProtection="1">
      <alignment horizontal="center" vertical="center"/>
      <protection locked="0"/>
    </xf>
    <xf numFmtId="0" fontId="0" fillId="5" borderId="2" xfId="1" applyFont="1" applyFill="1" applyBorder="1" applyAlignment="1" applyProtection="1">
      <alignment horizontal="center" vertical="center"/>
      <protection locked="0"/>
    </xf>
    <xf numFmtId="0" fontId="0" fillId="5" borderId="3" xfId="1" applyFont="1" applyFill="1" applyBorder="1" applyAlignment="1" applyProtection="1">
      <alignment horizontal="center" vertical="center"/>
      <protection locked="0"/>
    </xf>
    <xf numFmtId="0" fontId="0" fillId="5" borderId="2" xfId="0" applyFill="1" applyBorder="1" applyAlignment="1" applyProtection="1">
      <alignment horizontal="center" vertical="center"/>
      <protection locked="0"/>
    </xf>
    <xf numFmtId="0" fontId="0" fillId="5" borderId="3" xfId="0" applyFill="1" applyBorder="1" applyAlignment="1" applyProtection="1">
      <alignment horizontal="center" vertical="center"/>
      <protection locked="0"/>
    </xf>
    <xf numFmtId="0" fontId="0" fillId="0" borderId="4" xfId="0" applyBorder="1" applyAlignment="1">
      <alignment horizontal="center" vertical="center"/>
    </xf>
    <xf numFmtId="0" fontId="1" fillId="4" borderId="4" xfId="1" applyFont="1" applyFill="1" applyBorder="1" applyAlignment="1" applyProtection="1">
      <alignment horizontal="center" vertical="center"/>
      <protection hidden="1"/>
    </xf>
    <xf numFmtId="0" fontId="0" fillId="4" borderId="4" xfId="0" applyFill="1" applyBorder="1" applyAlignment="1">
      <alignment horizontal="center" vertical="center"/>
    </xf>
    <xf numFmtId="169" fontId="0" fillId="0" borderId="1" xfId="1" applyNumberFormat="1" applyFont="1" applyFill="1" applyBorder="1" applyAlignment="1" applyProtection="1">
      <alignment horizontal="left" vertical="center" indent="1"/>
      <protection hidden="1"/>
    </xf>
    <xf numFmtId="0" fontId="0" fillId="0" borderId="2" xfId="0" applyFill="1" applyBorder="1" applyAlignment="1" applyProtection="1">
      <alignment horizontal="left" vertical="center" indent="1"/>
      <protection hidden="1"/>
    </xf>
    <xf numFmtId="0" fontId="0" fillId="0" borderId="3" xfId="0" applyFill="1" applyBorder="1" applyAlignment="1" applyProtection="1">
      <alignment horizontal="left" vertical="center" indent="1"/>
      <protection hidden="1"/>
    </xf>
    <xf numFmtId="0" fontId="0" fillId="6" borderId="1" xfId="1" applyFont="1" applyFill="1" applyBorder="1" applyAlignment="1" applyProtection="1">
      <alignment horizontal="center" vertical="center"/>
      <protection hidden="1"/>
    </xf>
    <xf numFmtId="0" fontId="0" fillId="0" borderId="2" xfId="0" applyBorder="1" applyAlignment="1">
      <alignment horizontal="center" vertical="center"/>
    </xf>
    <xf numFmtId="0" fontId="0" fillId="0" borderId="3" xfId="0" applyBorder="1" applyAlignment="1">
      <alignment horizontal="center" vertical="center"/>
    </xf>
    <xf numFmtId="170" fontId="1" fillId="0" borderId="1" xfId="1" applyNumberFormat="1" applyFont="1" applyBorder="1" applyAlignment="1" applyProtection="1">
      <alignment horizontal="left" vertical="center" indent="1"/>
      <protection hidden="1"/>
    </xf>
    <xf numFmtId="170" fontId="0" fillId="0" borderId="2" xfId="0" applyNumberFormat="1" applyBorder="1" applyAlignment="1" applyProtection="1">
      <alignment horizontal="left" vertical="center" indent="1"/>
      <protection hidden="1"/>
    </xf>
    <xf numFmtId="170" fontId="0" fillId="0" borderId="3" xfId="0" applyNumberFormat="1" applyBorder="1" applyAlignment="1" applyProtection="1">
      <alignment horizontal="left" vertical="center" indent="1"/>
      <protection hidden="1"/>
    </xf>
    <xf numFmtId="179" fontId="1" fillId="5" borderId="1" xfId="1" applyNumberFormat="1" applyFont="1" applyFill="1" applyBorder="1" applyAlignment="1" applyProtection="1">
      <alignment horizontal="left" vertical="center" indent="1"/>
      <protection locked="0"/>
    </xf>
    <xf numFmtId="179" fontId="0" fillId="5" borderId="2" xfId="0" applyNumberFormat="1" applyFill="1" applyBorder="1" applyAlignment="1" applyProtection="1">
      <alignment horizontal="left" vertical="center" indent="1"/>
      <protection locked="0"/>
    </xf>
    <xf numFmtId="179" fontId="0" fillId="5" borderId="3" xfId="0" applyNumberFormat="1" applyFill="1" applyBorder="1" applyAlignment="1" applyProtection="1">
      <alignment horizontal="left" vertical="center" indent="1"/>
      <protection locked="0"/>
    </xf>
    <xf numFmtId="0" fontId="1" fillId="0" borderId="2" xfId="1" applyFont="1" applyBorder="1" applyAlignment="1" applyProtection="1">
      <alignment horizontal="center" vertical="center"/>
      <protection locked="0"/>
    </xf>
    <xf numFmtId="0" fontId="1" fillId="0" borderId="3" xfId="1" applyFont="1" applyBorder="1" applyAlignment="1" applyProtection="1">
      <alignment horizontal="center" vertical="center"/>
      <protection locked="0"/>
    </xf>
    <xf numFmtId="0" fontId="1" fillId="0" borderId="4" xfId="1" applyFont="1" applyBorder="1" applyAlignment="1" applyProtection="1">
      <alignment horizontal="center" vertical="center"/>
      <protection locked="0"/>
    </xf>
    <xf numFmtId="178" fontId="1" fillId="4" borderId="1" xfId="1" applyNumberFormat="1" applyFont="1" applyFill="1" applyBorder="1" applyAlignment="1" applyProtection="1">
      <alignment horizontal="left" vertical="center" indent="1"/>
      <protection locked="0"/>
    </xf>
    <xf numFmtId="178" fontId="0" fillId="4" borderId="2" xfId="0" applyNumberFormat="1" applyFill="1" applyBorder="1" applyAlignment="1" applyProtection="1">
      <alignment horizontal="left" vertical="center" indent="1"/>
      <protection locked="0"/>
    </xf>
    <xf numFmtId="178" fontId="0" fillId="4" borderId="3" xfId="0" applyNumberFormat="1" applyFill="1" applyBorder="1" applyAlignment="1" applyProtection="1">
      <alignment horizontal="left" vertical="center" indent="1"/>
      <protection locked="0"/>
    </xf>
    <xf numFmtId="179" fontId="1" fillId="4" borderId="1" xfId="1" applyNumberFormat="1" applyFont="1" applyFill="1" applyBorder="1" applyAlignment="1" applyProtection="1">
      <alignment horizontal="left" vertical="center" indent="1"/>
      <protection locked="0"/>
    </xf>
    <xf numFmtId="179" fontId="0" fillId="4" borderId="2" xfId="0" applyNumberFormat="1" applyFill="1" applyBorder="1" applyAlignment="1" applyProtection="1">
      <alignment horizontal="left" vertical="center" indent="1"/>
      <protection locked="0"/>
    </xf>
    <xf numFmtId="179" fontId="0" fillId="4" borderId="3" xfId="0" applyNumberFormat="1" applyFill="1" applyBorder="1" applyAlignment="1" applyProtection="1">
      <alignment horizontal="left" vertical="center" indent="1"/>
      <protection locked="0"/>
    </xf>
    <xf numFmtId="177" fontId="1" fillId="0" borderId="2" xfId="1" applyNumberFormat="1" applyFont="1" applyBorder="1" applyAlignment="1" applyProtection="1">
      <alignment horizontal="left" vertical="center" indent="1"/>
      <protection hidden="1"/>
    </xf>
    <xf numFmtId="0" fontId="1" fillId="0" borderId="2" xfId="1" applyFont="1" applyBorder="1" applyAlignment="1" applyProtection="1">
      <alignment vertical="center"/>
      <protection locked="0"/>
    </xf>
    <xf numFmtId="0" fontId="1" fillId="0" borderId="3" xfId="1" applyFont="1" applyBorder="1" applyAlignment="1" applyProtection="1">
      <alignment vertical="center"/>
      <protection locked="0"/>
    </xf>
    <xf numFmtId="0" fontId="16" fillId="0" borderId="2" xfId="1" applyFont="1" applyBorder="1" applyAlignment="1" applyProtection="1">
      <alignment vertical="center"/>
      <protection locked="0"/>
    </xf>
    <xf numFmtId="0" fontId="16" fillId="0" borderId="3" xfId="1" applyFont="1" applyBorder="1" applyAlignment="1" applyProtection="1">
      <alignment vertical="center"/>
      <protection locked="0"/>
    </xf>
    <xf numFmtId="0" fontId="1" fillId="3" borderId="1" xfId="1" applyFont="1" applyFill="1" applyBorder="1" applyAlignment="1" applyProtection="1">
      <alignment horizontal="center" vertical="center"/>
      <protection hidden="1"/>
    </xf>
    <xf numFmtId="0" fontId="0" fillId="0" borderId="2" xfId="1" applyFont="1" applyBorder="1" applyAlignment="1" applyProtection="1">
      <alignment vertical="center"/>
      <protection locked="0"/>
    </xf>
    <xf numFmtId="164" fontId="1" fillId="0" borderId="4" xfId="1" applyNumberFormat="1" applyFont="1" applyBorder="1" applyAlignment="1" applyProtection="1">
      <alignment horizontal="center" vertical="center"/>
      <protection locked="0"/>
    </xf>
    <xf numFmtId="0" fontId="1" fillId="5" borderId="1" xfId="1" applyFont="1" applyFill="1" applyBorder="1" applyAlignment="1" applyProtection="1">
      <alignment horizontal="left" vertical="center" indent="1"/>
      <protection locked="0"/>
    </xf>
    <xf numFmtId="177" fontId="0" fillId="0" borderId="2" xfId="0" applyNumberFormat="1" applyBorder="1" applyAlignment="1" applyProtection="1">
      <alignment horizontal="left" vertical="center" indent="1"/>
      <protection hidden="1"/>
    </xf>
    <xf numFmtId="177" fontId="0" fillId="0" borderId="3" xfId="0" applyNumberFormat="1" applyBorder="1" applyAlignment="1" applyProtection="1">
      <alignment horizontal="left" vertical="center" indent="1"/>
      <protection hidden="1"/>
    </xf>
    <xf numFmtId="182" fontId="1" fillId="4" borderId="1" xfId="1" applyNumberFormat="1" applyFont="1" applyFill="1" applyBorder="1" applyAlignment="1" applyProtection="1">
      <alignment horizontal="left" vertical="center" indent="1"/>
      <protection locked="0"/>
    </xf>
    <xf numFmtId="182" fontId="0" fillId="4" borderId="2" xfId="0" applyNumberFormat="1" applyFill="1" applyBorder="1" applyAlignment="1" applyProtection="1">
      <alignment horizontal="left" vertical="center" indent="1"/>
      <protection locked="0"/>
    </xf>
    <xf numFmtId="182" fontId="0" fillId="4" borderId="3" xfId="0" applyNumberFormat="1" applyFill="1" applyBorder="1" applyAlignment="1" applyProtection="1">
      <alignment horizontal="left" vertical="center" indent="1"/>
      <protection locked="0"/>
    </xf>
    <xf numFmtId="2" fontId="1" fillId="4" borderId="1" xfId="1" applyNumberFormat="1" applyFont="1" applyFill="1" applyBorder="1" applyAlignment="1" applyProtection="1">
      <alignment horizontal="left" vertical="center" indent="1"/>
      <protection locked="0"/>
    </xf>
    <xf numFmtId="2" fontId="0" fillId="4" borderId="2" xfId="0" applyNumberFormat="1" applyFill="1" applyBorder="1" applyAlignment="1" applyProtection="1">
      <alignment horizontal="left" vertical="center" indent="1"/>
      <protection locked="0"/>
    </xf>
    <xf numFmtId="2" fontId="0" fillId="4" borderId="3" xfId="0" applyNumberFormat="1" applyFill="1" applyBorder="1" applyAlignment="1" applyProtection="1">
      <alignment horizontal="left" vertical="center" indent="1"/>
      <protection locked="0"/>
    </xf>
    <xf numFmtId="170" fontId="1" fillId="5" borderId="1" xfId="1" applyNumberFormat="1" applyFont="1" applyFill="1" applyBorder="1" applyAlignment="1" applyProtection="1">
      <alignment horizontal="left" vertical="center" indent="1"/>
      <protection locked="0"/>
    </xf>
    <xf numFmtId="170" fontId="0" fillId="5" borderId="2" xfId="0" applyNumberFormat="1" applyFill="1" applyBorder="1" applyAlignment="1" applyProtection="1">
      <alignment horizontal="left" vertical="center" indent="1"/>
      <protection locked="0"/>
    </xf>
    <xf numFmtId="170" fontId="0" fillId="5" borderId="3" xfId="0" applyNumberFormat="1" applyFill="1" applyBorder="1" applyAlignment="1" applyProtection="1">
      <alignment horizontal="left" vertical="center" indent="1"/>
      <protection locked="0"/>
    </xf>
    <xf numFmtId="181" fontId="1" fillId="0" borderId="1" xfId="1" applyNumberFormat="1" applyFont="1" applyBorder="1" applyAlignment="1" applyProtection="1">
      <alignment horizontal="left" vertical="center" indent="1"/>
      <protection hidden="1"/>
    </xf>
    <xf numFmtId="181" fontId="0" fillId="0" borderId="2" xfId="0" applyNumberFormat="1" applyBorder="1" applyAlignment="1" applyProtection="1">
      <alignment horizontal="left" vertical="center" indent="1"/>
      <protection hidden="1"/>
    </xf>
    <xf numFmtId="181" fontId="0" fillId="0" borderId="3" xfId="0" applyNumberFormat="1" applyBorder="1" applyAlignment="1" applyProtection="1">
      <alignment horizontal="left" vertical="center" indent="1"/>
      <protection hidden="1"/>
    </xf>
    <xf numFmtId="178" fontId="1" fillId="0" borderId="1" xfId="1" applyNumberFormat="1" applyFont="1" applyBorder="1" applyAlignment="1" applyProtection="1">
      <alignment horizontal="left" vertical="center" indent="1"/>
      <protection hidden="1"/>
    </xf>
    <xf numFmtId="178" fontId="0" fillId="0" borderId="2" xfId="0" applyNumberFormat="1" applyBorder="1" applyAlignment="1" applyProtection="1">
      <alignment horizontal="left" vertical="center" indent="1"/>
      <protection hidden="1"/>
    </xf>
    <xf numFmtId="178" fontId="0" fillId="0" borderId="3" xfId="0" applyNumberFormat="1" applyBorder="1" applyAlignment="1" applyProtection="1">
      <alignment horizontal="left" vertical="center" indent="1"/>
      <protection hidden="1"/>
    </xf>
    <xf numFmtId="170" fontId="0" fillId="4" borderId="2" xfId="0" applyNumberFormat="1" applyFill="1" applyBorder="1" applyAlignment="1" applyProtection="1">
      <alignment horizontal="left" vertical="center" indent="1"/>
      <protection locked="0"/>
    </xf>
    <xf numFmtId="170" fontId="0" fillId="4" borderId="3" xfId="0" applyNumberFormat="1" applyFill="1" applyBorder="1" applyAlignment="1" applyProtection="1">
      <alignment horizontal="left" vertical="center" indent="1"/>
      <protection locked="0"/>
    </xf>
    <xf numFmtId="180" fontId="1" fillId="4" borderId="1" xfId="1" applyNumberFormat="1" applyFont="1" applyFill="1" applyBorder="1" applyAlignment="1" applyProtection="1">
      <alignment horizontal="left" vertical="center" indent="1"/>
      <protection locked="0"/>
    </xf>
    <xf numFmtId="180" fontId="1" fillId="4" borderId="2" xfId="1" applyNumberFormat="1" applyFont="1" applyFill="1" applyBorder="1" applyAlignment="1" applyProtection="1">
      <alignment horizontal="left" vertical="center" indent="1"/>
      <protection locked="0"/>
    </xf>
    <xf numFmtId="180" fontId="1" fillId="4" borderId="3" xfId="1" applyNumberFormat="1" applyFont="1" applyFill="1" applyBorder="1" applyAlignment="1" applyProtection="1">
      <alignment horizontal="left" vertical="center" indent="1"/>
      <protection locked="0"/>
    </xf>
    <xf numFmtId="0" fontId="0" fillId="6" borderId="1" xfId="0" applyFill="1" applyBorder="1" applyAlignment="1">
      <alignment horizontal="left" vertical="center" indent="1"/>
    </xf>
    <xf numFmtId="167" fontId="0" fillId="5" borderId="1" xfId="0" applyNumberFormat="1" applyFill="1" applyBorder="1" applyAlignment="1" applyProtection="1">
      <alignment horizontal="left" vertical="center" indent="1"/>
      <protection locked="0"/>
    </xf>
    <xf numFmtId="167" fontId="0" fillId="5" borderId="2" xfId="0" applyNumberFormat="1" applyFill="1" applyBorder="1" applyAlignment="1" applyProtection="1">
      <alignment horizontal="left" vertical="center" indent="1"/>
      <protection locked="0"/>
    </xf>
    <xf numFmtId="0" fontId="0" fillId="0" borderId="3" xfId="0" applyBorder="1" applyAlignment="1" applyProtection="1">
      <alignment horizontal="left" vertical="center" indent="1"/>
      <protection locked="0"/>
    </xf>
    <xf numFmtId="167" fontId="0" fillId="0" borderId="1" xfId="0" applyNumberFormat="1" applyBorder="1" applyAlignment="1" applyProtection="1">
      <alignment horizontal="left" vertical="center" indent="1"/>
      <protection hidden="1"/>
    </xf>
    <xf numFmtId="167" fontId="0" fillId="0" borderId="2" xfId="0" applyNumberFormat="1" applyBorder="1" applyAlignment="1" applyProtection="1">
      <alignment horizontal="left" vertical="center" indent="1"/>
      <protection hidden="1"/>
    </xf>
    <xf numFmtId="0" fontId="0" fillId="0" borderId="3" xfId="0" applyBorder="1" applyAlignment="1" applyProtection="1">
      <alignment horizontal="left" vertical="center" indent="1"/>
      <protection hidden="1"/>
    </xf>
  </cellXfs>
  <cellStyles count="12">
    <cellStyle name="Comma 2" xfId="2"/>
    <cellStyle name="Comma0" xfId="3"/>
    <cellStyle name="Currency0" xfId="4"/>
    <cellStyle name="Date" xfId="5"/>
    <cellStyle name="Fixed" xfId="6"/>
    <cellStyle name="Normal" xfId="0" builtinId="0"/>
    <cellStyle name="Normal 2" xfId="1"/>
    <cellStyle name="Normal 2 2" xfId="7"/>
    <cellStyle name="Normal 2 3" xfId="8"/>
    <cellStyle name="Normal 3" xfId="9"/>
    <cellStyle name="Normal 4" xfId="10"/>
    <cellStyle name="Normal 5" xfId="11"/>
  </cellStyles>
  <dxfs count="0"/>
  <tableStyles count="0" defaultTableStyle="TableStyleMedium2" defaultPivotStyle="PivotStyleLight16"/>
  <colors>
    <mruColors>
      <color rgb="FF9D9385"/>
      <color rgb="FFB7B56B"/>
      <color rgb="FFACAA56"/>
      <color rgb="FF666633"/>
      <color rgb="FFF2C4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7.emf"/><Relationship Id="rId21" Type="http://schemas.openxmlformats.org/officeDocument/2006/relationships/image" Target="../media/image21.emf"/><Relationship Id="rId7"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8.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9.emf"/><Relationship Id="rId6" Type="http://schemas.openxmlformats.org/officeDocument/2006/relationships/image" Target="../media/image4.emf"/><Relationship Id="rId11" Type="http://schemas.openxmlformats.org/officeDocument/2006/relationships/image" Target="../media/image11.emf"/><Relationship Id="rId24" Type="http://schemas.openxmlformats.org/officeDocument/2006/relationships/image" Target="../media/image24.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6.emf"/><Relationship Id="rId9" Type="http://schemas.openxmlformats.org/officeDocument/2006/relationships/image" Target="../media/image1.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20</xdr:col>
      <xdr:colOff>131867</xdr:colOff>
      <xdr:row>8</xdr:row>
      <xdr:rowOff>44442</xdr:rowOff>
    </xdr:from>
    <xdr:to>
      <xdr:col>30</xdr:col>
      <xdr:colOff>122117</xdr:colOff>
      <xdr:row>16</xdr:row>
      <xdr:rowOff>56523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3741842" y="1682742"/>
          <a:ext cx="1800000" cy="1821831"/>
          <a:chOff x="3363038" y="814500"/>
          <a:chExt cx="1822713" cy="1809375"/>
        </a:xfrm>
      </xdr:grpSpPr>
      <xdr:sp macro="" textlink="">
        <xdr:nvSpPr>
          <xdr:cNvPr id="3" name="Arc 2">
            <a:extLst>
              <a:ext uri="{FF2B5EF4-FFF2-40B4-BE49-F238E27FC236}">
                <a16:creationId xmlns:a16="http://schemas.microsoft.com/office/drawing/2014/main" id="{00000000-0008-0000-0100-000003000000}"/>
              </a:ext>
            </a:extLst>
          </xdr:cNvPr>
          <xdr:cNvSpPr/>
        </xdr:nvSpPr>
        <xdr:spPr>
          <a:xfrm rot="8100000">
            <a:off x="3363038" y="814500"/>
            <a:ext cx="1822713" cy="1805862"/>
          </a:xfrm>
          <a:prstGeom prst="arc">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flipV="1">
            <a:off x="3634249" y="2356258"/>
            <a:ext cx="1287138"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rot="5400000" flipV="1">
            <a:off x="4147276" y="2490932"/>
            <a:ext cx="261294"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flipH="1">
            <a:off x="3625517" y="1211140"/>
            <a:ext cx="653956" cy="1145118"/>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rot="5400000" flipV="1">
            <a:off x="3707489" y="1777227"/>
            <a:ext cx="1140868" cy="482"/>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100-000008000000}"/>
              </a:ext>
            </a:extLst>
          </xdr:cNvPr>
          <xdr:cNvCxnSpPr>
            <a:endCxn id="3" idx="0"/>
          </xdr:cNvCxnSpPr>
        </xdr:nvCxnSpPr>
        <xdr:spPr>
          <a:xfrm>
            <a:off x="4277092" y="1213521"/>
            <a:ext cx="640659" cy="1142504"/>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9" name="Arc 8">
            <a:extLst>
              <a:ext uri="{FF2B5EF4-FFF2-40B4-BE49-F238E27FC236}">
                <a16:creationId xmlns:a16="http://schemas.microsoft.com/office/drawing/2014/main" id="{00000000-0008-0000-0100-000009000000}"/>
              </a:ext>
            </a:extLst>
          </xdr:cNvPr>
          <xdr:cNvSpPr/>
        </xdr:nvSpPr>
        <xdr:spPr>
          <a:xfrm rot="8047699">
            <a:off x="4155049" y="1266009"/>
            <a:ext cx="144000" cy="146878"/>
          </a:xfrm>
          <a:prstGeom prst="arc">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10" name="Arc 9">
            <a:extLst>
              <a:ext uri="{FF2B5EF4-FFF2-40B4-BE49-F238E27FC236}">
                <a16:creationId xmlns:a16="http://schemas.microsoft.com/office/drawing/2014/main" id="{00000000-0008-0000-0100-00000A000000}"/>
              </a:ext>
            </a:extLst>
          </xdr:cNvPr>
          <xdr:cNvSpPr/>
        </xdr:nvSpPr>
        <xdr:spPr>
          <a:xfrm rot="8047699">
            <a:off x="4255895" y="1272123"/>
            <a:ext cx="144000" cy="146878"/>
          </a:xfrm>
          <a:prstGeom prst="arc">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093920" y="137850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700" i="1">
                <a:latin typeface="Cambria"/>
              </a:rPr>
              <a:t>θ</a:t>
            </a:r>
            <a:endParaRPr lang="en-IN" sz="700" i="1"/>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4225384" y="137781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700" i="1">
                <a:latin typeface="Cambria"/>
              </a:rPr>
              <a:t>θ</a:t>
            </a:r>
            <a:endParaRPr lang="en-IN" sz="700" i="1"/>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3848149" y="2137302"/>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x</a:t>
            </a:r>
            <a:endParaRPr lang="en-IN" sz="700" i="1"/>
          </a:p>
        </xdr:txBody>
      </xdr:sp>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485438" y="2143425"/>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x</a:t>
            </a:r>
            <a:endParaRPr lang="en-IN" sz="700" i="1"/>
          </a:p>
        </xdr:txBody>
      </xdr:sp>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3623949" y="2216917"/>
            <a:ext cx="0" cy="7200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100-000010000000}"/>
              </a:ext>
            </a:extLst>
          </xdr:cNvPr>
          <xdr:cNvCxnSpPr/>
        </xdr:nvCxnSpPr>
        <xdr:spPr>
          <a:xfrm>
            <a:off x="4917778" y="2216236"/>
            <a:ext cx="0" cy="7200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3626670" y="2250255"/>
            <a:ext cx="256448" cy="0"/>
          </a:xfrm>
          <a:prstGeom prst="line">
            <a:avLst/>
          </a:prstGeom>
          <a:ln w="3175">
            <a:solidFill>
              <a:schemeClr val="tx1"/>
            </a:solidFill>
            <a:head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a:off x="4011438" y="2249575"/>
            <a:ext cx="257757"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4279132" y="2249575"/>
            <a:ext cx="254878" cy="0"/>
          </a:xfrm>
          <a:prstGeom prst="line">
            <a:avLst/>
          </a:prstGeom>
          <a:ln w="3175">
            <a:solidFill>
              <a:schemeClr val="tx1"/>
            </a:solidFill>
            <a:head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a:extLst>
              <a:ext uri="{FF2B5EF4-FFF2-40B4-BE49-F238E27FC236}">
                <a16:creationId xmlns:a16="http://schemas.microsoft.com/office/drawing/2014/main" id="{00000000-0008-0000-0100-000014000000}"/>
              </a:ext>
            </a:extLst>
          </xdr:cNvPr>
          <xdr:cNvCxnSpPr/>
        </xdr:nvCxnSpPr>
        <xdr:spPr>
          <a:xfrm>
            <a:off x="4665209" y="2248895"/>
            <a:ext cx="254878"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rot="17862303">
            <a:off x="3793563" y="1620074"/>
            <a:ext cx="237629"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R</a:t>
            </a:r>
            <a:endParaRPr lang="en-IN" sz="700" i="1"/>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216535" y="1832398"/>
            <a:ext cx="313227"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R-d</a:t>
            </a:r>
            <a:endParaRPr lang="en-IN" sz="700" i="1"/>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4909612" y="2380243"/>
            <a:ext cx="233782"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700" i="1">
                <a:latin typeface="Cambria"/>
              </a:rPr>
              <a:t>d</a:t>
            </a:r>
            <a:endParaRPr lang="en-IN" sz="700" i="1"/>
          </a:p>
        </xdr:txBody>
      </xdr:sp>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4994818" y="2353721"/>
            <a:ext cx="72000" cy="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a:off x="4994182" y="2623875"/>
            <a:ext cx="72000" cy="0"/>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rot="5400000">
            <a:off x="4991605" y="2584235"/>
            <a:ext cx="72000" cy="0"/>
          </a:xfrm>
          <a:prstGeom prst="line">
            <a:avLst/>
          </a:prstGeom>
          <a:ln w="3175">
            <a:solidFill>
              <a:schemeClr val="tx1"/>
            </a:solidFill>
            <a:headEnd type="none" w="sm" len="sm"/>
            <a:tailEnd type="stealth" w="sm" len="sm"/>
          </a:ln>
        </xdr:spPr>
        <xdr:style>
          <a:lnRef idx="1">
            <a:schemeClr val="accent1"/>
          </a:lnRef>
          <a:fillRef idx="0">
            <a:schemeClr val="accent1"/>
          </a:fillRef>
          <a:effectRef idx="0">
            <a:schemeClr val="accent1"/>
          </a:effectRef>
          <a:fontRef idx="minor">
            <a:schemeClr val="tx1"/>
          </a:fontRef>
        </xdr:style>
      </xdr:cxnSp>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rot="5400000">
            <a:off x="4994327" y="2387558"/>
            <a:ext cx="72000" cy="0"/>
          </a:xfrm>
          <a:prstGeom prst="line">
            <a:avLst/>
          </a:prstGeom>
          <a:ln w="3175">
            <a:solidFill>
              <a:schemeClr val="tx1"/>
            </a:solidFill>
            <a:headEnd type="stealth" w="sm" len="sm"/>
            <a:tailEnd type="none" w="sm" len="sm"/>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xdr:from>
      <xdr:col>8</xdr:col>
      <xdr:colOff>104775</xdr:colOff>
      <xdr:row>20</xdr:row>
      <xdr:rowOff>0</xdr:rowOff>
    </xdr:from>
    <xdr:to>
      <xdr:col>10</xdr:col>
      <xdr:colOff>38100</xdr:colOff>
      <xdr:row>20</xdr:row>
      <xdr:rowOff>0</xdr:rowOff>
    </xdr:to>
    <xdr:cxnSp macro="">
      <xdr:nvCxnSpPr>
        <xdr:cNvPr id="28" name="Straight Connector 27">
          <a:extLst>
            <a:ext uri="{FF2B5EF4-FFF2-40B4-BE49-F238E27FC236}">
              <a16:creationId xmlns:a16="http://schemas.microsoft.com/office/drawing/2014/main" id="{00000000-0008-0000-0100-00001C000000}"/>
            </a:ext>
          </a:extLst>
        </xdr:cNvPr>
        <xdr:cNvCxnSpPr/>
      </xdr:nvCxnSpPr>
      <xdr:spPr>
        <a:xfrm>
          <a:off x="1485900" y="4429125"/>
          <a:ext cx="323850" cy="0"/>
        </a:xfrm>
        <a:prstGeom prst="line">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29</xdr:col>
          <xdr:colOff>38100</xdr:colOff>
          <xdr:row>17</xdr:row>
          <xdr:rowOff>47625</xdr:rowOff>
        </xdr:from>
        <xdr:to>
          <xdr:col>36</xdr:col>
          <xdr:colOff>142875</xdr:colOff>
          <xdr:row>18</xdr:row>
          <xdr:rowOff>123825</xdr:rowOff>
        </xdr:to>
        <xdr:sp macro="" textlink="">
          <xdr:nvSpPr>
            <xdr:cNvPr id="3083" name="ckbCCBottomCapPlat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12</xdr:row>
          <xdr:rowOff>0</xdr:rowOff>
        </xdr:from>
        <xdr:to>
          <xdr:col>37</xdr:col>
          <xdr:colOff>142875</xdr:colOff>
          <xdr:row>13</xdr:row>
          <xdr:rowOff>76200</xdr:rowOff>
        </xdr:to>
        <xdr:sp macro="" textlink="">
          <xdr:nvSpPr>
            <xdr:cNvPr id="3084" name="ckbCRVerticalAnnulu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10</xdr:row>
          <xdr:rowOff>76200</xdr:rowOff>
        </xdr:from>
        <xdr:to>
          <xdr:col>37</xdr:col>
          <xdr:colOff>142875</xdr:colOff>
          <xdr:row>12</xdr:row>
          <xdr:rowOff>0</xdr:rowOff>
        </xdr:to>
        <xdr:sp macro="" textlink="">
          <xdr:nvSpPr>
            <xdr:cNvPr id="3085" name="ckbCompressionRing"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18</xdr:row>
          <xdr:rowOff>95250</xdr:rowOff>
        </xdr:from>
        <xdr:to>
          <xdr:col>37</xdr:col>
          <xdr:colOff>142875</xdr:colOff>
          <xdr:row>20</xdr:row>
          <xdr:rowOff>19050</xdr:rowOff>
        </xdr:to>
        <xdr:sp macro="" textlink="">
          <xdr:nvSpPr>
            <xdr:cNvPr id="3087" name="ckbCCTop"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85725</xdr:colOff>
          <xdr:row>4</xdr:row>
          <xdr:rowOff>57150</xdr:rowOff>
        </xdr:from>
        <xdr:to>
          <xdr:col>38</xdr:col>
          <xdr:colOff>133350</xdr:colOff>
          <xdr:row>6</xdr:row>
          <xdr:rowOff>9525</xdr:rowOff>
        </xdr:to>
        <xdr:sp macro="" textlink="">
          <xdr:nvSpPr>
            <xdr:cNvPr id="3088" name="btnGenerateThickener"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14</xdr:row>
          <xdr:rowOff>123825</xdr:rowOff>
        </xdr:from>
        <xdr:to>
          <xdr:col>37</xdr:col>
          <xdr:colOff>142875</xdr:colOff>
          <xdr:row>16</xdr:row>
          <xdr:rowOff>47625</xdr:rowOff>
        </xdr:to>
        <xdr:sp macro="" textlink="">
          <xdr:nvSpPr>
            <xdr:cNvPr id="3097" name="ckbCCBottom"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13</xdr:row>
          <xdr:rowOff>66675</xdr:rowOff>
        </xdr:from>
        <xdr:to>
          <xdr:col>37</xdr:col>
          <xdr:colOff>142875</xdr:colOff>
          <xdr:row>14</xdr:row>
          <xdr:rowOff>142875</xdr:rowOff>
        </xdr:to>
        <xdr:sp macro="" textlink="">
          <xdr:nvSpPr>
            <xdr:cNvPr id="3098" name="ckbCRStiffener"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19</xdr:row>
          <xdr:rowOff>142875</xdr:rowOff>
        </xdr:from>
        <xdr:to>
          <xdr:col>36</xdr:col>
          <xdr:colOff>142875</xdr:colOff>
          <xdr:row>21</xdr:row>
          <xdr:rowOff>66675</xdr:rowOff>
        </xdr:to>
        <xdr:sp macro="" textlink="">
          <xdr:nvSpPr>
            <xdr:cNvPr id="3099" name="ckbCCTopCapPlate"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21</xdr:row>
          <xdr:rowOff>28575</xdr:rowOff>
        </xdr:from>
        <xdr:to>
          <xdr:col>36</xdr:col>
          <xdr:colOff>142875</xdr:colOff>
          <xdr:row>22</xdr:row>
          <xdr:rowOff>104775</xdr:rowOff>
        </xdr:to>
        <xdr:sp macro="" textlink="">
          <xdr:nvSpPr>
            <xdr:cNvPr id="3100" name="ckbCCStiffener"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38100</xdr:colOff>
          <xdr:row>16</xdr:row>
          <xdr:rowOff>9525</xdr:rowOff>
        </xdr:from>
        <xdr:to>
          <xdr:col>36</xdr:col>
          <xdr:colOff>142875</xdr:colOff>
          <xdr:row>17</xdr:row>
          <xdr:rowOff>85725</xdr:rowOff>
        </xdr:to>
        <xdr:sp macro="" textlink="">
          <xdr:nvSpPr>
            <xdr:cNvPr id="3102" name="ckbCCBottomBasePlate"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23</xdr:row>
          <xdr:rowOff>133351</xdr:rowOff>
        </xdr:from>
        <xdr:to>
          <xdr:col>38</xdr:col>
          <xdr:colOff>28575</xdr:colOff>
          <xdr:row>30</xdr:row>
          <xdr:rowOff>19051</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219700" y="3790951"/>
              <a:ext cx="1676400" cy="952500"/>
              <a:chOff x="5219700" y="4743451"/>
              <a:chExt cx="1676400" cy="952500"/>
            </a:xfrm>
          </xdr:grpSpPr>
          <xdr:sp macro="" textlink="">
            <xdr:nvSpPr>
              <xdr:cNvPr id="3103" name="ckbTx"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531495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4" name="ckbTy"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5785485"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5" name="ckbTz"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625602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6" name="ckbRx"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531685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7" name="ckbRy"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5787390"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8" name="ckbRz"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625792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5219700" y="4743451"/>
                <a:ext cx="1676400" cy="9525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Segoe UI"/>
                    <a:cs typeface="Segoe UI"/>
                  </a:rPr>
                  <a:t>Support Restraints (Columns)</a:t>
                </a:r>
              </a:p>
            </xdr:txBody>
          </xdr:sp>
          <xdr:sp macro="" textlink="">
            <xdr:nvSpPr>
              <xdr:cNvPr id="3113" name="radFixed"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5257800" y="4876800"/>
                <a:ext cx="508000" cy="228600"/>
              </a:xfrm>
              <a:prstGeom prst="rect">
                <a:avLst/>
              </a:prstGeom>
              <a:noFill/>
              <a:ln>
                <a:noFill/>
              </a:ln>
              <a:extLst>
                <a:ext uri="{91240B29-F687-4F45-9708-019B960494DF}">
                  <a14:hiddenLine w="9525">
                    <a:noFill/>
                    <a:miter lim="800000"/>
                    <a:headEnd/>
                    <a:tailEnd/>
                  </a14:hiddenLine>
                </a:ext>
              </a:extLst>
            </xdr:spPr>
          </xdr:sp>
          <xdr:sp macro="" textlink="">
            <xdr:nvSpPr>
              <xdr:cNvPr id="3115" name="radPinned"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5759450" y="487680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3116" name="radCustom"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6324600" y="4876800"/>
                <a:ext cx="5715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30</xdr:row>
          <xdr:rowOff>95250</xdr:rowOff>
        </xdr:from>
        <xdr:to>
          <xdr:col>38</xdr:col>
          <xdr:colOff>28575</xdr:colOff>
          <xdr:row>36</xdr:row>
          <xdr:rowOff>133350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5219700" y="4819650"/>
              <a:ext cx="1676400" cy="952500"/>
              <a:chOff x="5219700" y="4743451"/>
              <a:chExt cx="1676400" cy="952500"/>
            </a:xfrm>
          </xdr:grpSpPr>
          <xdr:sp macro="" textlink="">
            <xdr:nvSpPr>
              <xdr:cNvPr id="3118" name="ckbTxCC"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531495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19" name="ckbTyCC"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5785485"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0" name="ckbTzCC"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6256020" y="51911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1" name="ckbRxCC"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531685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2" name="ckbRyCC"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5787390"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3" name="ckbRzCC"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6257925" y="5419725"/>
                <a:ext cx="381000" cy="228600"/>
              </a:xfrm>
              <a:prstGeom prst="rect">
                <a:avLst/>
              </a:prstGeom>
              <a:noFill/>
              <a:ln>
                <a:noFill/>
              </a:ln>
              <a:extLst>
                <a:ext uri="{91240B29-F687-4F45-9708-019B960494DF}">
                  <a14:hiddenLine w="9525">
                    <a:noFill/>
                    <a:miter lim="800000"/>
                    <a:headEnd/>
                    <a:tailEnd/>
                  </a14:hiddenLine>
                </a:ext>
              </a:extLst>
            </xdr:spPr>
          </xdr:sp>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5219700" y="4743451"/>
                <a:ext cx="1676400" cy="9525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Segoe UI"/>
                    <a:cs typeface="Segoe UI"/>
                  </a:rPr>
                  <a:t>Support Restraints (CC)</a:t>
                </a:r>
              </a:p>
            </xdr:txBody>
          </xdr:sp>
          <xdr:sp macro="" textlink="">
            <xdr:nvSpPr>
              <xdr:cNvPr id="3126" name="radPinnedCC"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5302250" y="487680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3127" name="radCustomCC"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5867400" y="4876800"/>
                <a:ext cx="5715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pdated/AISC360%20Member%20Design%20(Non%20HSS)%20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History"/>
      <sheetName val="Summary"/>
      <sheetName val="Calcs"/>
      <sheetName val="ProfilesList"/>
    </sheetNames>
    <sheetDataSet>
      <sheetData sheetId="0"/>
      <sheetData sheetId="1">
        <row r="1">
          <cell r="G1" t="str">
            <v>J1705-S-C-0001</v>
          </cell>
          <cell r="AO1" t="str">
            <v>Srinivas</v>
          </cell>
        </row>
        <row r="2">
          <cell r="AO2" t="str">
            <v>Srinivas</v>
          </cell>
        </row>
        <row r="3">
          <cell r="G3" t="str">
            <v>Renovation of the Covering Shed</v>
          </cell>
          <cell r="AO3" t="str">
            <v>Srinivas</v>
          </cell>
          <cell r="AR3" t="str">
            <v>A</v>
          </cell>
          <cell r="AV3" t="str">
            <v>A</v>
          </cell>
        </row>
        <row r="4">
          <cell r="G4" t="str">
            <v>M/s Gammon India Ltd.</v>
          </cell>
          <cell r="AK4" t="str">
            <v>AISC 360-10 v1.2</v>
          </cell>
          <cell r="AR4">
            <v>42912</v>
          </cell>
          <cell r="AV4">
            <v>43128</v>
          </cell>
        </row>
      </sheetData>
      <sheetData sheetId="2">
        <row r="6">
          <cell r="M6" t="str">
            <v>European</v>
          </cell>
          <cell r="R6" t="str">
            <v>HE Sections</v>
          </cell>
          <cell r="W6" t="str">
            <v>HE280AAx61.2</v>
          </cell>
        </row>
        <row r="9">
          <cell r="I9">
            <v>7802</v>
          </cell>
        </row>
        <row r="10">
          <cell r="I10">
            <v>264</v>
          </cell>
        </row>
        <row r="11">
          <cell r="I11">
            <v>280</v>
          </cell>
        </row>
        <row r="12">
          <cell r="I12">
            <v>10</v>
          </cell>
        </row>
        <row r="13">
          <cell r="I13">
            <v>7</v>
          </cell>
        </row>
        <row r="14">
          <cell r="I14">
            <v>34</v>
          </cell>
        </row>
        <row r="26">
          <cell r="S26">
            <v>315</v>
          </cell>
          <cell r="W26">
            <v>425</v>
          </cell>
          <cell r="AB26">
            <v>200000</v>
          </cell>
        </row>
        <row r="90">
          <cell r="X90" t="str">
            <v>ASD</v>
          </cell>
        </row>
        <row r="160">
          <cell r="V160">
            <v>1</v>
          </cell>
        </row>
        <row r="174">
          <cell r="V174">
            <v>1</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trlProp" Target="../ctrlProps/ctrlProp2.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ersionHistory"/>
  <dimension ref="A1:BK59"/>
  <sheetViews>
    <sheetView showGridLines="0" zoomScaleNormal="100" workbookViewId="0">
      <selection activeCell="X5" sqref="X5"/>
    </sheetView>
  </sheetViews>
  <sheetFormatPr defaultColWidth="3.1640625" defaultRowHeight="10.5" x14ac:dyDescent="0.15"/>
  <cols>
    <col min="1" max="1" width="2" style="62" customWidth="1"/>
    <col min="2" max="9" width="3.1640625" style="62"/>
    <col min="10" max="10" width="3.6640625" style="62" bestFit="1" customWidth="1"/>
    <col min="11" max="19" width="3.1640625" style="62"/>
    <col min="20" max="20" width="3.1640625" style="62" customWidth="1"/>
    <col min="21" max="22" width="3.1640625" style="62"/>
    <col min="23" max="23" width="3.83203125" style="62" customWidth="1"/>
    <col min="24" max="24" width="3.1640625" style="62"/>
    <col min="25" max="25" width="3.6640625" style="62" bestFit="1" customWidth="1"/>
    <col min="26" max="40" width="3.1640625" style="62"/>
    <col min="41" max="41" width="6.33203125" style="62" bestFit="1" customWidth="1"/>
    <col min="42" max="52" width="3.1640625" style="62"/>
    <col min="53" max="53" width="10" style="62" customWidth="1"/>
    <col min="54" max="54" width="7.6640625" style="62" bestFit="1" customWidth="1"/>
    <col min="55" max="55" width="55" style="62" bestFit="1" customWidth="1"/>
    <col min="56" max="56" width="7.6640625" style="62" bestFit="1" customWidth="1"/>
    <col min="57" max="57" width="11.33203125" style="62" bestFit="1" customWidth="1"/>
    <col min="58" max="58" width="9.33203125" style="62" bestFit="1" customWidth="1"/>
    <col min="59" max="59" width="8.33203125" style="62" bestFit="1" customWidth="1"/>
    <col min="60" max="61" width="9.5" style="62" bestFit="1" customWidth="1"/>
    <col min="62" max="62" width="9.33203125" style="62" bestFit="1" customWidth="1"/>
    <col min="63" max="16384" width="3.1640625" style="62"/>
  </cols>
  <sheetData>
    <row r="1" spans="1:63" ht="15" customHeight="1" x14ac:dyDescent="0.15">
      <c r="A1" s="64"/>
      <c r="B1" s="217" t="s">
        <v>0</v>
      </c>
      <c r="C1" s="217"/>
      <c r="D1" s="217"/>
      <c r="E1" s="217"/>
      <c r="F1" s="63" t="s">
        <v>1</v>
      </c>
      <c r="G1" s="217" t="s">
        <v>18</v>
      </c>
      <c r="H1" s="217"/>
      <c r="I1" s="217"/>
      <c r="J1" s="217"/>
      <c r="K1" s="217"/>
      <c r="L1" s="217"/>
      <c r="M1" s="217"/>
      <c r="N1" s="217"/>
      <c r="O1" s="217"/>
      <c r="P1" s="217"/>
      <c r="Q1" s="217"/>
      <c r="R1" s="217"/>
      <c r="S1" s="217"/>
      <c r="T1" s="217"/>
      <c r="U1" s="217"/>
      <c r="V1" s="217"/>
      <c r="W1" s="230"/>
      <c r="X1" s="231" t="s">
        <v>3</v>
      </c>
      <c r="Y1" s="217"/>
      <c r="Z1" s="217"/>
      <c r="AA1" s="63" t="s">
        <v>1</v>
      </c>
      <c r="AB1" s="232" t="s">
        <v>4</v>
      </c>
      <c r="AC1" s="232"/>
      <c r="AD1" s="233"/>
      <c r="AE1" s="229" t="s">
        <v>5</v>
      </c>
      <c r="AF1" s="229"/>
      <c r="AG1" s="229"/>
      <c r="AH1" s="229"/>
      <c r="AI1" s="229"/>
      <c r="AJ1" s="229"/>
      <c r="AK1" s="229"/>
      <c r="AL1" s="229"/>
    </row>
    <row r="2" spans="1:63" ht="15" customHeight="1" thickBot="1" x14ac:dyDescent="0.2">
      <c r="A2" s="64"/>
      <c r="B2" s="217" t="s">
        <v>6</v>
      </c>
      <c r="C2" s="217"/>
      <c r="D2" s="217"/>
      <c r="E2" s="217"/>
      <c r="F2" s="63" t="s">
        <v>1</v>
      </c>
      <c r="G2" s="217" t="s">
        <v>142</v>
      </c>
      <c r="H2" s="217"/>
      <c r="I2" s="217"/>
      <c r="J2" s="217"/>
      <c r="K2" s="217"/>
      <c r="L2" s="217"/>
      <c r="M2" s="217"/>
      <c r="N2" s="217"/>
      <c r="O2" s="217"/>
      <c r="P2" s="217"/>
      <c r="Q2" s="217"/>
      <c r="R2" s="217"/>
      <c r="S2" s="217"/>
      <c r="T2" s="217"/>
      <c r="U2" s="217"/>
      <c r="V2" s="217"/>
      <c r="W2" s="230"/>
      <c r="X2" s="231" t="s">
        <v>8</v>
      </c>
      <c r="Y2" s="217"/>
      <c r="Z2" s="217"/>
      <c r="AA2" s="63" t="s">
        <v>1</v>
      </c>
      <c r="AB2" s="232" t="s">
        <v>4</v>
      </c>
      <c r="AC2" s="232"/>
      <c r="AD2" s="233"/>
      <c r="AE2" s="229" t="s">
        <v>10</v>
      </c>
      <c r="AF2" s="229"/>
      <c r="AG2" s="229"/>
      <c r="AH2" s="229"/>
      <c r="AI2" s="229" t="s">
        <v>11</v>
      </c>
      <c r="AJ2" s="229"/>
      <c r="AK2" s="229"/>
      <c r="AL2" s="229"/>
      <c r="AN2" s="102" t="s">
        <v>143</v>
      </c>
      <c r="AO2" s="103"/>
      <c r="AP2" s="104"/>
      <c r="AQ2" s="104"/>
      <c r="AR2" s="105"/>
    </row>
    <row r="3" spans="1:63" ht="15" customHeight="1" x14ac:dyDescent="0.15">
      <c r="A3" s="64"/>
      <c r="B3" s="217" t="s">
        <v>12</v>
      </c>
      <c r="C3" s="217"/>
      <c r="D3" s="217"/>
      <c r="E3" s="217"/>
      <c r="F3" s="63" t="s">
        <v>1</v>
      </c>
      <c r="G3" s="217" t="s">
        <v>18</v>
      </c>
      <c r="H3" s="217"/>
      <c r="I3" s="217"/>
      <c r="J3" s="217"/>
      <c r="K3" s="217"/>
      <c r="L3" s="217"/>
      <c r="M3" s="217"/>
      <c r="N3" s="217"/>
      <c r="O3" s="217"/>
      <c r="P3" s="217"/>
      <c r="Q3" s="217"/>
      <c r="R3" s="217"/>
      <c r="S3" s="217"/>
      <c r="T3" s="217"/>
      <c r="U3" s="217"/>
      <c r="V3" s="217"/>
      <c r="W3" s="230"/>
      <c r="X3" s="231" t="s">
        <v>14</v>
      </c>
      <c r="Y3" s="217"/>
      <c r="Z3" s="217"/>
      <c r="AA3" s="63" t="s">
        <v>1</v>
      </c>
      <c r="AB3" s="232" t="s">
        <v>4</v>
      </c>
      <c r="AC3" s="232"/>
      <c r="AD3" s="233"/>
      <c r="AE3" s="229" t="s">
        <v>16</v>
      </c>
      <c r="AF3" s="229"/>
      <c r="AG3" s="229"/>
      <c r="AH3" s="229"/>
      <c r="AI3" s="229" t="s">
        <v>16</v>
      </c>
      <c r="AJ3" s="229"/>
      <c r="AK3" s="229"/>
      <c r="AL3" s="229"/>
    </row>
    <row r="4" spans="1:63" ht="15" customHeight="1" x14ac:dyDescent="0.15">
      <c r="A4" s="64"/>
      <c r="B4" s="217" t="s">
        <v>17</v>
      </c>
      <c r="C4" s="217"/>
      <c r="D4" s="217"/>
      <c r="E4" s="217"/>
      <c r="F4" s="63" t="s">
        <v>1</v>
      </c>
      <c r="G4" s="218" t="s">
        <v>18</v>
      </c>
      <c r="H4" s="218"/>
      <c r="I4" s="218"/>
      <c r="J4" s="218"/>
      <c r="K4" s="218"/>
      <c r="L4" s="218"/>
      <c r="M4" s="218"/>
      <c r="N4" s="218"/>
      <c r="O4" s="218"/>
      <c r="P4" s="218"/>
      <c r="Q4" s="218"/>
      <c r="R4" s="218"/>
      <c r="S4" s="218"/>
      <c r="T4" s="218"/>
      <c r="U4" s="218"/>
      <c r="V4" s="218"/>
      <c r="W4" s="219"/>
      <c r="X4" s="220" t="s">
        <v>217</v>
      </c>
      <c r="Y4" s="221"/>
      <c r="Z4" s="221"/>
      <c r="AA4" s="221"/>
      <c r="AB4" s="221"/>
      <c r="AC4" s="221"/>
      <c r="AD4" s="222"/>
      <c r="AE4" s="223">
        <v>43128</v>
      </c>
      <c r="AF4" s="223"/>
      <c r="AG4" s="223"/>
      <c r="AH4" s="223"/>
      <c r="AI4" s="223">
        <f ca="1">TODAY()</f>
        <v>43672</v>
      </c>
      <c r="AJ4" s="223"/>
      <c r="AK4" s="223"/>
      <c r="AL4" s="223"/>
      <c r="AS4" s="106"/>
    </row>
    <row r="5" spans="1:63" x14ac:dyDescent="0.15">
      <c r="A5" s="74"/>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6"/>
      <c r="AS5" s="106"/>
    </row>
    <row r="6" spans="1:63" x14ac:dyDescent="0.15">
      <c r="A6" s="66"/>
      <c r="B6" s="65" t="s">
        <v>144</v>
      </c>
      <c r="AL6" s="67"/>
    </row>
    <row r="7" spans="1:63" x14ac:dyDescent="0.15">
      <c r="A7" s="66"/>
      <c r="AL7" s="67"/>
    </row>
    <row r="8" spans="1:63" ht="12.75" x14ac:dyDescent="0.15">
      <c r="A8" s="66"/>
      <c r="B8" s="224" t="s">
        <v>145</v>
      </c>
      <c r="C8" s="225"/>
      <c r="D8" s="225"/>
      <c r="E8" s="226"/>
      <c r="F8" s="227" t="s">
        <v>146</v>
      </c>
      <c r="G8" s="212"/>
      <c r="H8" s="212"/>
      <c r="I8" s="212"/>
      <c r="J8" s="212"/>
      <c r="K8" s="212"/>
      <c r="L8" s="212"/>
      <c r="M8" s="212"/>
      <c r="N8" s="212"/>
      <c r="O8" s="212"/>
      <c r="P8" s="212"/>
      <c r="Q8" s="212"/>
      <c r="R8" s="212"/>
      <c r="S8" s="212"/>
      <c r="T8" s="213"/>
      <c r="U8" s="224" t="s">
        <v>147</v>
      </c>
      <c r="V8" s="225"/>
      <c r="W8" s="225"/>
      <c r="X8" s="226"/>
      <c r="Y8" s="227" t="s">
        <v>148</v>
      </c>
      <c r="Z8" s="228"/>
      <c r="AA8" s="228"/>
      <c r="AB8" s="228"/>
      <c r="AC8" s="228"/>
      <c r="AD8" s="228"/>
      <c r="AE8" s="228"/>
      <c r="AF8" s="228"/>
      <c r="AG8" s="228"/>
      <c r="AH8" s="228"/>
      <c r="AI8" s="228"/>
      <c r="AJ8" s="228"/>
      <c r="AK8" s="213"/>
      <c r="AL8" s="67"/>
      <c r="AO8" s="107"/>
      <c r="AP8" s="107"/>
      <c r="AQ8" s="107"/>
      <c r="AR8" s="107"/>
      <c r="AT8" s="107"/>
      <c r="AU8" s="107"/>
      <c r="AV8" s="107"/>
      <c r="AW8" s="65"/>
    </row>
    <row r="9" spans="1:63" ht="12.75" x14ac:dyDescent="0.15">
      <c r="A9" s="66"/>
      <c r="B9" s="208">
        <v>1</v>
      </c>
      <c r="C9" s="209"/>
      <c r="D9" s="209"/>
      <c r="E9" s="210"/>
      <c r="F9" s="211" t="s">
        <v>149</v>
      </c>
      <c r="G9" s="212"/>
      <c r="H9" s="212"/>
      <c r="I9" s="212"/>
      <c r="J9" s="212"/>
      <c r="K9" s="212"/>
      <c r="L9" s="212"/>
      <c r="M9" s="212"/>
      <c r="N9" s="212"/>
      <c r="O9" s="212"/>
      <c r="P9" s="212"/>
      <c r="Q9" s="212"/>
      <c r="R9" s="212"/>
      <c r="S9" s="212"/>
      <c r="T9" s="213"/>
      <c r="U9" s="214">
        <v>43128</v>
      </c>
      <c r="V9" s="215"/>
      <c r="W9" s="215"/>
      <c r="X9" s="216"/>
      <c r="Y9" s="211" t="s">
        <v>18</v>
      </c>
      <c r="Z9" s="212"/>
      <c r="AA9" s="212"/>
      <c r="AB9" s="212"/>
      <c r="AC9" s="212"/>
      <c r="AD9" s="212"/>
      <c r="AE9" s="212"/>
      <c r="AF9" s="212"/>
      <c r="AG9" s="212"/>
      <c r="AH9" s="212"/>
      <c r="AI9" s="212"/>
      <c r="AJ9" s="212"/>
      <c r="AK9" s="213"/>
      <c r="AL9" s="67"/>
      <c r="AN9" s="108"/>
      <c r="AO9" s="107"/>
      <c r="AP9" s="107"/>
      <c r="AQ9" s="107"/>
      <c r="AR9" s="107"/>
      <c r="AT9" s="107"/>
      <c r="AU9" s="107"/>
      <c r="AV9" s="107"/>
      <c r="AW9" s="101"/>
      <c r="AX9" s="109"/>
      <c r="AY9" s="109"/>
      <c r="AZ9" s="109"/>
      <c r="BA9" s="101"/>
      <c r="BB9" s="110"/>
      <c r="BC9" s="111"/>
      <c r="BD9" s="111"/>
      <c r="BE9" s="111"/>
      <c r="BF9" s="111"/>
      <c r="BG9" s="111"/>
      <c r="BH9" s="111"/>
      <c r="BI9" s="111"/>
      <c r="BJ9" s="111"/>
      <c r="BK9" s="111"/>
    </row>
    <row r="10" spans="1:63" ht="12.75" x14ac:dyDescent="0.15">
      <c r="A10" s="66"/>
      <c r="B10" s="180">
        <v>1.1000000000000001</v>
      </c>
      <c r="C10" s="191"/>
      <c r="D10" s="191"/>
      <c r="E10" s="192"/>
      <c r="F10" s="196" t="s">
        <v>166</v>
      </c>
      <c r="G10" s="197"/>
      <c r="H10" s="197"/>
      <c r="I10" s="197"/>
      <c r="J10" s="197"/>
      <c r="K10" s="197"/>
      <c r="L10" s="197"/>
      <c r="M10" s="197"/>
      <c r="N10" s="197"/>
      <c r="O10" s="197"/>
      <c r="P10" s="197"/>
      <c r="Q10" s="197"/>
      <c r="R10" s="197"/>
      <c r="S10" s="197"/>
      <c r="T10" s="198"/>
      <c r="U10" s="186">
        <v>43145</v>
      </c>
      <c r="V10" s="199"/>
      <c r="W10" s="199"/>
      <c r="X10" s="200"/>
      <c r="Y10" s="170" t="s">
        <v>167</v>
      </c>
      <c r="Z10" s="201"/>
      <c r="AA10" s="201"/>
      <c r="AB10" s="201"/>
      <c r="AC10" s="201"/>
      <c r="AD10" s="201"/>
      <c r="AE10" s="201"/>
      <c r="AF10" s="201"/>
      <c r="AG10" s="201"/>
      <c r="AH10" s="201"/>
      <c r="AI10" s="201"/>
      <c r="AJ10" s="201"/>
      <c r="AK10" s="202"/>
      <c r="AL10" s="67"/>
      <c r="AO10" s="107"/>
      <c r="AP10" s="107"/>
      <c r="AQ10" s="107"/>
      <c r="AR10" s="107"/>
      <c r="AW10" s="101"/>
      <c r="AX10" s="109"/>
      <c r="AY10" s="109"/>
      <c r="AZ10" s="109"/>
      <c r="BA10" s="101"/>
      <c r="BB10" s="110"/>
      <c r="BC10" s="111"/>
      <c r="BD10" s="111"/>
      <c r="BE10" s="111"/>
      <c r="BF10" s="111"/>
      <c r="BG10" s="111"/>
      <c r="BH10" s="111"/>
      <c r="BI10" s="111"/>
      <c r="BJ10" s="111"/>
      <c r="BK10" s="111"/>
    </row>
    <row r="11" spans="1:63" ht="12.75" x14ac:dyDescent="0.15">
      <c r="A11" s="66"/>
      <c r="B11" s="193"/>
      <c r="C11" s="194"/>
      <c r="D11" s="194"/>
      <c r="E11" s="195"/>
      <c r="F11" s="193"/>
      <c r="G11" s="194"/>
      <c r="H11" s="194"/>
      <c r="I11" s="194"/>
      <c r="J11" s="194"/>
      <c r="K11" s="194"/>
      <c r="L11" s="194"/>
      <c r="M11" s="194"/>
      <c r="N11" s="194"/>
      <c r="O11" s="194"/>
      <c r="P11" s="194"/>
      <c r="Q11" s="194"/>
      <c r="R11" s="194"/>
      <c r="S11" s="194"/>
      <c r="T11" s="195"/>
      <c r="U11" s="193"/>
      <c r="V11" s="194"/>
      <c r="W11" s="194"/>
      <c r="X11" s="195"/>
      <c r="Y11" s="203"/>
      <c r="Z11" s="204"/>
      <c r="AA11" s="204"/>
      <c r="AB11" s="204"/>
      <c r="AC11" s="204"/>
      <c r="AD11" s="204"/>
      <c r="AE11" s="204"/>
      <c r="AF11" s="204"/>
      <c r="AG11" s="204"/>
      <c r="AH11" s="204"/>
      <c r="AI11" s="204"/>
      <c r="AJ11" s="204"/>
      <c r="AK11" s="205"/>
      <c r="AL11" s="67"/>
      <c r="AO11" s="107"/>
      <c r="AP11" s="107"/>
      <c r="AQ11" s="107"/>
      <c r="AR11" s="107"/>
      <c r="AW11" s="101"/>
      <c r="AX11" s="109"/>
      <c r="AY11" s="109"/>
      <c r="AZ11" s="109"/>
      <c r="BA11" s="101"/>
      <c r="BB11" s="110"/>
      <c r="BC11" s="111"/>
      <c r="BD11" s="111"/>
      <c r="BE11" s="111"/>
      <c r="BF11" s="111"/>
      <c r="BG11" s="111"/>
      <c r="BH11" s="111"/>
      <c r="BI11" s="111"/>
      <c r="BJ11" s="111"/>
      <c r="BK11" s="111"/>
    </row>
    <row r="12" spans="1:63" ht="12.75" x14ac:dyDescent="0.15">
      <c r="A12" s="66"/>
      <c r="B12" s="180">
        <v>1.2</v>
      </c>
      <c r="C12" s="191"/>
      <c r="D12" s="191"/>
      <c r="E12" s="192"/>
      <c r="F12" s="196" t="s">
        <v>171</v>
      </c>
      <c r="G12" s="197"/>
      <c r="H12" s="197"/>
      <c r="I12" s="197"/>
      <c r="J12" s="197"/>
      <c r="K12" s="197"/>
      <c r="L12" s="197"/>
      <c r="M12" s="197"/>
      <c r="N12" s="197"/>
      <c r="O12" s="197"/>
      <c r="P12" s="197"/>
      <c r="Q12" s="197"/>
      <c r="R12" s="197"/>
      <c r="S12" s="197"/>
      <c r="T12" s="198"/>
      <c r="U12" s="186">
        <v>43313</v>
      </c>
      <c r="V12" s="199"/>
      <c r="W12" s="199"/>
      <c r="X12" s="200"/>
      <c r="Y12" s="170" t="s">
        <v>170</v>
      </c>
      <c r="Z12" s="201"/>
      <c r="AA12" s="201"/>
      <c r="AB12" s="201"/>
      <c r="AC12" s="201"/>
      <c r="AD12" s="201"/>
      <c r="AE12" s="201"/>
      <c r="AF12" s="201"/>
      <c r="AG12" s="201"/>
      <c r="AH12" s="201"/>
      <c r="AI12" s="201"/>
      <c r="AJ12" s="201"/>
      <c r="AK12" s="202"/>
      <c r="AL12" s="67"/>
      <c r="AW12" s="101"/>
      <c r="AX12" s="109"/>
      <c r="AY12" s="109"/>
      <c r="AZ12" s="109"/>
      <c r="BA12" s="101"/>
      <c r="BB12" s="110"/>
      <c r="BC12" s="111"/>
      <c r="BD12" s="111"/>
      <c r="BE12" s="111"/>
      <c r="BF12" s="111"/>
      <c r="BG12" s="111"/>
      <c r="BH12" s="111"/>
      <c r="BI12" s="111"/>
      <c r="BJ12" s="111"/>
      <c r="BK12" s="111"/>
    </row>
    <row r="13" spans="1:63" ht="12.75" x14ac:dyDescent="0.15">
      <c r="A13" s="66"/>
      <c r="B13" s="193"/>
      <c r="C13" s="194"/>
      <c r="D13" s="194"/>
      <c r="E13" s="195"/>
      <c r="F13" s="193"/>
      <c r="G13" s="194"/>
      <c r="H13" s="194"/>
      <c r="I13" s="194"/>
      <c r="J13" s="194"/>
      <c r="K13" s="194"/>
      <c r="L13" s="194"/>
      <c r="M13" s="194"/>
      <c r="N13" s="194"/>
      <c r="O13" s="194"/>
      <c r="P13" s="194"/>
      <c r="Q13" s="194"/>
      <c r="R13" s="194"/>
      <c r="S13" s="194"/>
      <c r="T13" s="195"/>
      <c r="U13" s="193"/>
      <c r="V13" s="194"/>
      <c r="W13" s="194"/>
      <c r="X13" s="195"/>
      <c r="Y13" s="203"/>
      <c r="Z13" s="204"/>
      <c r="AA13" s="204"/>
      <c r="AB13" s="204"/>
      <c r="AC13" s="204"/>
      <c r="AD13" s="204"/>
      <c r="AE13" s="204"/>
      <c r="AF13" s="204"/>
      <c r="AG13" s="204"/>
      <c r="AH13" s="204"/>
      <c r="AI13" s="204"/>
      <c r="AJ13" s="204"/>
      <c r="AK13" s="205"/>
      <c r="AL13" s="67"/>
      <c r="AO13" s="107"/>
      <c r="AP13" s="107"/>
      <c r="AQ13" s="107"/>
      <c r="AR13" s="107"/>
      <c r="AT13" s="107"/>
      <c r="AU13" s="107"/>
      <c r="AV13" s="107"/>
      <c r="AW13" s="101"/>
      <c r="AX13" s="109"/>
      <c r="AY13" s="109"/>
      <c r="AZ13" s="109"/>
      <c r="BA13" s="101"/>
      <c r="BB13" s="110"/>
      <c r="BC13" s="111"/>
      <c r="BD13" s="111"/>
      <c r="BE13" s="111"/>
      <c r="BF13" s="111"/>
      <c r="BG13" s="111"/>
      <c r="BH13" s="111"/>
      <c r="BI13" s="111"/>
      <c r="BJ13" s="111"/>
      <c r="BK13" s="111"/>
    </row>
    <row r="14" spans="1:63" ht="12.75" x14ac:dyDescent="0.15">
      <c r="A14" s="66"/>
      <c r="B14" s="180">
        <v>1.3</v>
      </c>
      <c r="C14" s="181"/>
      <c r="D14" s="181"/>
      <c r="E14" s="182"/>
      <c r="F14" s="196" t="s">
        <v>173</v>
      </c>
      <c r="G14" s="206"/>
      <c r="H14" s="206"/>
      <c r="I14" s="206"/>
      <c r="J14" s="206"/>
      <c r="K14" s="206"/>
      <c r="L14" s="206"/>
      <c r="M14" s="206"/>
      <c r="N14" s="206"/>
      <c r="O14" s="206"/>
      <c r="P14" s="206"/>
      <c r="Q14" s="206"/>
      <c r="R14" s="206"/>
      <c r="S14" s="206"/>
      <c r="T14" s="207"/>
      <c r="U14" s="186">
        <v>43313</v>
      </c>
      <c r="V14" s="187"/>
      <c r="W14" s="187"/>
      <c r="X14" s="188"/>
      <c r="Y14" s="170" t="s">
        <v>174</v>
      </c>
      <c r="Z14" s="171"/>
      <c r="AA14" s="171"/>
      <c r="AB14" s="171"/>
      <c r="AC14" s="171"/>
      <c r="AD14" s="171"/>
      <c r="AE14" s="171"/>
      <c r="AF14" s="171"/>
      <c r="AG14" s="171"/>
      <c r="AH14" s="171"/>
      <c r="AI14" s="171"/>
      <c r="AJ14" s="171"/>
      <c r="AK14" s="172"/>
      <c r="AL14" s="67"/>
      <c r="AO14" s="107"/>
      <c r="AP14" s="107"/>
      <c r="AQ14" s="107"/>
      <c r="AR14" s="107"/>
      <c r="AT14" s="107"/>
      <c r="AU14" s="107"/>
      <c r="AV14" s="107"/>
      <c r="AW14" s="70"/>
      <c r="AX14" s="112"/>
      <c r="AY14" s="112"/>
      <c r="AZ14" s="112"/>
      <c r="BA14" s="70"/>
      <c r="BB14" s="70"/>
      <c r="BC14" s="112"/>
      <c r="BD14" s="112"/>
      <c r="BE14" s="112"/>
      <c r="BF14" s="112"/>
      <c r="BG14" s="112"/>
      <c r="BH14" s="112"/>
      <c r="BI14" s="112"/>
      <c r="BJ14" s="112"/>
      <c r="BK14" s="112"/>
    </row>
    <row r="15" spans="1:63" ht="12.75" x14ac:dyDescent="0.15">
      <c r="A15" s="66"/>
      <c r="B15" s="183"/>
      <c r="C15" s="184"/>
      <c r="D15" s="184"/>
      <c r="E15" s="185"/>
      <c r="F15" s="183"/>
      <c r="G15" s="184"/>
      <c r="H15" s="184"/>
      <c r="I15" s="184"/>
      <c r="J15" s="184"/>
      <c r="K15" s="184"/>
      <c r="L15" s="184"/>
      <c r="M15" s="184"/>
      <c r="N15" s="184"/>
      <c r="O15" s="184"/>
      <c r="P15" s="184"/>
      <c r="Q15" s="184"/>
      <c r="R15" s="184"/>
      <c r="S15" s="184"/>
      <c r="T15" s="185"/>
      <c r="U15" s="183"/>
      <c r="V15" s="184"/>
      <c r="W15" s="184"/>
      <c r="X15" s="185"/>
      <c r="Y15" s="173"/>
      <c r="Z15" s="174"/>
      <c r="AA15" s="174"/>
      <c r="AB15" s="174"/>
      <c r="AC15" s="174"/>
      <c r="AD15" s="174"/>
      <c r="AE15" s="174"/>
      <c r="AF15" s="174"/>
      <c r="AG15" s="174"/>
      <c r="AH15" s="174"/>
      <c r="AI15" s="174"/>
      <c r="AJ15" s="174"/>
      <c r="AK15" s="175"/>
      <c r="AL15" s="67"/>
      <c r="AO15" s="107"/>
      <c r="AP15" s="107"/>
      <c r="AQ15" s="107"/>
      <c r="AR15" s="107"/>
      <c r="AT15" s="107"/>
      <c r="AU15" s="107"/>
      <c r="AV15" s="107"/>
      <c r="AW15" s="107"/>
    </row>
    <row r="16" spans="1:63" ht="12.75" x14ac:dyDescent="0.15">
      <c r="A16" s="66"/>
      <c r="B16" s="180">
        <v>1.4</v>
      </c>
      <c r="C16" s="181"/>
      <c r="D16" s="181"/>
      <c r="E16" s="182"/>
      <c r="F16" s="170" t="s">
        <v>175</v>
      </c>
      <c r="G16" s="171"/>
      <c r="H16" s="171"/>
      <c r="I16" s="171"/>
      <c r="J16" s="171"/>
      <c r="K16" s="171"/>
      <c r="L16" s="171"/>
      <c r="M16" s="171"/>
      <c r="N16" s="171"/>
      <c r="O16" s="171"/>
      <c r="P16" s="171"/>
      <c r="Q16" s="171"/>
      <c r="R16" s="171"/>
      <c r="S16" s="171"/>
      <c r="T16" s="172"/>
      <c r="U16" s="186">
        <v>43314</v>
      </c>
      <c r="V16" s="187"/>
      <c r="W16" s="187"/>
      <c r="X16" s="188"/>
      <c r="Y16" s="170" t="s">
        <v>176</v>
      </c>
      <c r="Z16" s="171"/>
      <c r="AA16" s="171"/>
      <c r="AB16" s="171"/>
      <c r="AC16" s="171"/>
      <c r="AD16" s="171"/>
      <c r="AE16" s="171"/>
      <c r="AF16" s="171"/>
      <c r="AG16" s="171"/>
      <c r="AH16" s="171"/>
      <c r="AI16" s="171"/>
      <c r="AJ16" s="171"/>
      <c r="AK16" s="172"/>
      <c r="AL16" s="67"/>
      <c r="AO16" s="107"/>
      <c r="AP16" s="107"/>
      <c r="AQ16" s="107"/>
      <c r="AR16" s="107"/>
      <c r="AT16" s="107"/>
      <c r="AU16" s="107"/>
      <c r="AV16" s="107"/>
      <c r="AW16" s="107"/>
    </row>
    <row r="17" spans="1:49" ht="12.75" x14ac:dyDescent="0.15">
      <c r="A17" s="66"/>
      <c r="B17" s="183"/>
      <c r="C17" s="184"/>
      <c r="D17" s="184"/>
      <c r="E17" s="185"/>
      <c r="F17" s="173"/>
      <c r="G17" s="174"/>
      <c r="H17" s="174"/>
      <c r="I17" s="174"/>
      <c r="J17" s="174"/>
      <c r="K17" s="174"/>
      <c r="L17" s="174"/>
      <c r="M17" s="174"/>
      <c r="N17" s="174"/>
      <c r="O17" s="174"/>
      <c r="P17" s="174"/>
      <c r="Q17" s="174"/>
      <c r="R17" s="174"/>
      <c r="S17" s="174"/>
      <c r="T17" s="175"/>
      <c r="U17" s="183"/>
      <c r="V17" s="184"/>
      <c r="W17" s="184"/>
      <c r="X17" s="185"/>
      <c r="Y17" s="173"/>
      <c r="Z17" s="174"/>
      <c r="AA17" s="174"/>
      <c r="AB17" s="174"/>
      <c r="AC17" s="174"/>
      <c r="AD17" s="174"/>
      <c r="AE17" s="174"/>
      <c r="AF17" s="174"/>
      <c r="AG17" s="174"/>
      <c r="AH17" s="174"/>
      <c r="AI17" s="174"/>
      <c r="AJ17" s="174"/>
      <c r="AK17" s="175"/>
      <c r="AL17" s="67"/>
      <c r="AO17" s="107"/>
      <c r="AP17" s="107"/>
      <c r="AQ17" s="107"/>
      <c r="AR17" s="107"/>
      <c r="AT17" s="107"/>
      <c r="AU17" s="107"/>
      <c r="AV17" s="107"/>
      <c r="AW17" s="107"/>
    </row>
    <row r="18" spans="1:49" ht="12.75" x14ac:dyDescent="0.15">
      <c r="A18" s="66"/>
      <c r="B18" s="168">
        <v>1.5</v>
      </c>
      <c r="C18" s="168"/>
      <c r="D18" s="168"/>
      <c r="E18" s="168"/>
      <c r="F18" s="189" t="s">
        <v>203</v>
      </c>
      <c r="G18" s="190"/>
      <c r="H18" s="190"/>
      <c r="I18" s="190"/>
      <c r="J18" s="190"/>
      <c r="K18" s="190"/>
      <c r="L18" s="190"/>
      <c r="M18" s="190"/>
      <c r="N18" s="190"/>
      <c r="O18" s="190"/>
      <c r="P18" s="190"/>
      <c r="Q18" s="190"/>
      <c r="R18" s="190"/>
      <c r="S18" s="190"/>
      <c r="T18" s="190"/>
      <c r="U18" s="176">
        <v>43318</v>
      </c>
      <c r="V18" s="176"/>
      <c r="W18" s="176"/>
      <c r="X18" s="176"/>
      <c r="Y18" s="177" t="s">
        <v>204</v>
      </c>
      <c r="Z18" s="178"/>
      <c r="AA18" s="178"/>
      <c r="AB18" s="178"/>
      <c r="AC18" s="178"/>
      <c r="AD18" s="178"/>
      <c r="AE18" s="178"/>
      <c r="AF18" s="178"/>
      <c r="AG18" s="178"/>
      <c r="AH18" s="178"/>
      <c r="AI18" s="178"/>
      <c r="AJ18" s="178"/>
      <c r="AK18" s="178"/>
      <c r="AL18" s="67"/>
      <c r="AO18" s="107"/>
      <c r="AP18" s="107"/>
      <c r="AQ18" s="107"/>
      <c r="AR18" s="107"/>
      <c r="AT18" s="107"/>
      <c r="AU18" s="107"/>
      <c r="AV18" s="107"/>
      <c r="AW18" s="107"/>
    </row>
    <row r="19" spans="1:49" ht="12.75" x14ac:dyDescent="0.15">
      <c r="A19" s="66"/>
      <c r="B19" s="169"/>
      <c r="C19" s="169"/>
      <c r="D19" s="169"/>
      <c r="E19" s="169"/>
      <c r="F19" s="169"/>
      <c r="G19" s="169"/>
      <c r="H19" s="169"/>
      <c r="I19" s="169"/>
      <c r="J19" s="169"/>
      <c r="K19" s="169"/>
      <c r="L19" s="169"/>
      <c r="M19" s="169"/>
      <c r="N19" s="169"/>
      <c r="O19" s="169"/>
      <c r="P19" s="169"/>
      <c r="Q19" s="169"/>
      <c r="R19" s="169"/>
      <c r="S19" s="169"/>
      <c r="T19" s="169"/>
      <c r="U19" s="169"/>
      <c r="V19" s="169"/>
      <c r="W19" s="169"/>
      <c r="X19" s="169"/>
      <c r="Y19" s="179"/>
      <c r="Z19" s="179"/>
      <c r="AA19" s="179"/>
      <c r="AB19" s="179"/>
      <c r="AC19" s="179"/>
      <c r="AD19" s="179"/>
      <c r="AE19" s="179"/>
      <c r="AF19" s="179"/>
      <c r="AG19" s="179"/>
      <c r="AH19" s="179"/>
      <c r="AI19" s="179"/>
      <c r="AJ19" s="179"/>
      <c r="AK19" s="179"/>
      <c r="AL19" s="67"/>
      <c r="AO19" s="107"/>
      <c r="AP19" s="107"/>
      <c r="AQ19" s="107"/>
      <c r="AR19" s="107"/>
      <c r="AT19" s="107"/>
      <c r="AU19" s="107"/>
      <c r="AV19" s="107"/>
      <c r="AW19" s="107"/>
    </row>
    <row r="20" spans="1:49" ht="12.75" x14ac:dyDescent="0.15">
      <c r="A20" s="66"/>
      <c r="B20" s="168">
        <v>1.6</v>
      </c>
      <c r="C20" s="168"/>
      <c r="D20" s="168"/>
      <c r="E20" s="168"/>
      <c r="F20" s="170" t="s">
        <v>205</v>
      </c>
      <c r="G20" s="171"/>
      <c r="H20" s="171"/>
      <c r="I20" s="171"/>
      <c r="J20" s="171"/>
      <c r="K20" s="171"/>
      <c r="L20" s="171"/>
      <c r="M20" s="171"/>
      <c r="N20" s="171"/>
      <c r="O20" s="171"/>
      <c r="P20" s="171"/>
      <c r="Q20" s="171"/>
      <c r="R20" s="171"/>
      <c r="S20" s="171"/>
      <c r="T20" s="172"/>
      <c r="U20" s="176">
        <v>43322</v>
      </c>
      <c r="V20" s="176"/>
      <c r="W20" s="176"/>
      <c r="X20" s="176"/>
      <c r="Y20" s="177" t="s">
        <v>206</v>
      </c>
      <c r="Z20" s="178"/>
      <c r="AA20" s="178"/>
      <c r="AB20" s="178"/>
      <c r="AC20" s="178"/>
      <c r="AD20" s="178"/>
      <c r="AE20" s="178"/>
      <c r="AF20" s="178"/>
      <c r="AG20" s="178"/>
      <c r="AH20" s="178"/>
      <c r="AI20" s="178"/>
      <c r="AJ20" s="178"/>
      <c r="AK20" s="178"/>
      <c r="AL20" s="67"/>
      <c r="AO20" s="107"/>
      <c r="AP20" s="107"/>
      <c r="AQ20" s="107"/>
      <c r="AR20" s="107"/>
      <c r="AT20" s="107"/>
      <c r="AU20" s="107"/>
      <c r="AV20" s="107"/>
      <c r="AW20" s="107"/>
    </row>
    <row r="21" spans="1:49" ht="12.75" x14ac:dyDescent="0.15">
      <c r="A21" s="66"/>
      <c r="B21" s="169"/>
      <c r="C21" s="169"/>
      <c r="D21" s="169"/>
      <c r="E21" s="169"/>
      <c r="F21" s="173"/>
      <c r="G21" s="174"/>
      <c r="H21" s="174"/>
      <c r="I21" s="174"/>
      <c r="J21" s="174"/>
      <c r="K21" s="174"/>
      <c r="L21" s="174"/>
      <c r="M21" s="174"/>
      <c r="N21" s="174"/>
      <c r="O21" s="174"/>
      <c r="P21" s="174"/>
      <c r="Q21" s="174"/>
      <c r="R21" s="174"/>
      <c r="S21" s="174"/>
      <c r="T21" s="175"/>
      <c r="U21" s="169"/>
      <c r="V21" s="169"/>
      <c r="W21" s="169"/>
      <c r="X21" s="169"/>
      <c r="Y21" s="179"/>
      <c r="Z21" s="179"/>
      <c r="AA21" s="179"/>
      <c r="AB21" s="179"/>
      <c r="AC21" s="179"/>
      <c r="AD21" s="179"/>
      <c r="AE21" s="179"/>
      <c r="AF21" s="179"/>
      <c r="AG21" s="179"/>
      <c r="AH21" s="179"/>
      <c r="AI21" s="179"/>
      <c r="AJ21" s="179"/>
      <c r="AK21" s="179"/>
      <c r="AL21" s="67"/>
      <c r="AO21" s="107"/>
      <c r="AP21" s="107"/>
      <c r="AQ21" s="107"/>
      <c r="AR21" s="107"/>
      <c r="AT21" s="107"/>
      <c r="AU21" s="107"/>
      <c r="AV21" s="107"/>
      <c r="AW21" s="107"/>
    </row>
    <row r="22" spans="1:49" ht="12.75" x14ac:dyDescent="0.15">
      <c r="A22" s="66"/>
      <c r="B22" s="168">
        <v>1.7</v>
      </c>
      <c r="C22" s="168"/>
      <c r="D22" s="168"/>
      <c r="E22" s="168"/>
      <c r="F22" s="170" t="s">
        <v>18</v>
      </c>
      <c r="G22" s="171"/>
      <c r="H22" s="171"/>
      <c r="I22" s="171"/>
      <c r="J22" s="171"/>
      <c r="K22" s="171"/>
      <c r="L22" s="171"/>
      <c r="M22" s="171"/>
      <c r="N22" s="171"/>
      <c r="O22" s="171"/>
      <c r="P22" s="171"/>
      <c r="Q22" s="171"/>
      <c r="R22" s="171"/>
      <c r="S22" s="171"/>
      <c r="T22" s="172"/>
      <c r="U22" s="176" t="s">
        <v>18</v>
      </c>
      <c r="V22" s="176"/>
      <c r="W22" s="176"/>
      <c r="X22" s="176"/>
      <c r="Y22" s="177" t="s">
        <v>18</v>
      </c>
      <c r="Z22" s="178"/>
      <c r="AA22" s="178"/>
      <c r="AB22" s="178"/>
      <c r="AC22" s="178"/>
      <c r="AD22" s="178"/>
      <c r="AE22" s="178"/>
      <c r="AF22" s="178"/>
      <c r="AG22" s="178"/>
      <c r="AH22" s="178"/>
      <c r="AI22" s="178"/>
      <c r="AJ22" s="178"/>
      <c r="AK22" s="178"/>
      <c r="AL22" s="67"/>
      <c r="AO22" s="107"/>
      <c r="AP22" s="107"/>
      <c r="AQ22" s="107"/>
      <c r="AR22" s="107"/>
      <c r="AT22" s="107"/>
      <c r="AU22" s="107"/>
      <c r="AV22" s="107"/>
      <c r="AW22" s="107"/>
    </row>
    <row r="23" spans="1:49" ht="12.75" x14ac:dyDescent="0.15">
      <c r="A23" s="66"/>
      <c r="B23" s="169"/>
      <c r="C23" s="169"/>
      <c r="D23" s="169"/>
      <c r="E23" s="169"/>
      <c r="F23" s="173"/>
      <c r="G23" s="174"/>
      <c r="H23" s="174"/>
      <c r="I23" s="174"/>
      <c r="J23" s="174"/>
      <c r="K23" s="174"/>
      <c r="L23" s="174"/>
      <c r="M23" s="174"/>
      <c r="N23" s="174"/>
      <c r="O23" s="174"/>
      <c r="P23" s="174"/>
      <c r="Q23" s="174"/>
      <c r="R23" s="174"/>
      <c r="S23" s="174"/>
      <c r="T23" s="175"/>
      <c r="U23" s="169"/>
      <c r="V23" s="169"/>
      <c r="W23" s="169"/>
      <c r="X23" s="169"/>
      <c r="Y23" s="179"/>
      <c r="Z23" s="179"/>
      <c r="AA23" s="179"/>
      <c r="AB23" s="179"/>
      <c r="AC23" s="179"/>
      <c r="AD23" s="179"/>
      <c r="AE23" s="179"/>
      <c r="AF23" s="179"/>
      <c r="AG23" s="179"/>
      <c r="AH23" s="179"/>
      <c r="AI23" s="179"/>
      <c r="AJ23" s="179"/>
      <c r="AK23" s="179"/>
      <c r="AL23" s="67"/>
      <c r="AO23" s="107"/>
      <c r="AP23" s="107"/>
      <c r="AQ23" s="107"/>
      <c r="AR23" s="107"/>
      <c r="AT23" s="107"/>
      <c r="AU23" s="107"/>
      <c r="AV23" s="107"/>
      <c r="AW23" s="107"/>
    </row>
    <row r="24" spans="1:49" ht="12" customHeight="1" x14ac:dyDescent="0.15">
      <c r="A24" s="66"/>
      <c r="B24" s="168">
        <v>1.8</v>
      </c>
      <c r="C24" s="168"/>
      <c r="D24" s="168"/>
      <c r="E24" s="168"/>
      <c r="F24" s="170" t="s">
        <v>216</v>
      </c>
      <c r="G24" s="171"/>
      <c r="H24" s="171"/>
      <c r="I24" s="171"/>
      <c r="J24" s="171"/>
      <c r="K24" s="171"/>
      <c r="L24" s="171"/>
      <c r="M24" s="171"/>
      <c r="N24" s="171"/>
      <c r="O24" s="171"/>
      <c r="P24" s="171"/>
      <c r="Q24" s="171"/>
      <c r="R24" s="171"/>
      <c r="S24" s="171"/>
      <c r="T24" s="172"/>
      <c r="U24" s="176">
        <v>43579</v>
      </c>
      <c r="V24" s="176"/>
      <c r="W24" s="176"/>
      <c r="X24" s="176"/>
      <c r="Y24" s="177" t="s">
        <v>215</v>
      </c>
      <c r="Z24" s="178"/>
      <c r="AA24" s="178"/>
      <c r="AB24" s="178"/>
      <c r="AC24" s="178"/>
      <c r="AD24" s="178"/>
      <c r="AE24" s="178"/>
      <c r="AF24" s="178"/>
      <c r="AG24" s="178"/>
      <c r="AH24" s="178"/>
      <c r="AI24" s="178"/>
      <c r="AJ24" s="178"/>
      <c r="AK24" s="178"/>
      <c r="AL24" s="67"/>
      <c r="AO24" s="107"/>
      <c r="AP24" s="107"/>
      <c r="AQ24" s="107"/>
      <c r="AR24" s="107"/>
      <c r="AT24" s="107"/>
      <c r="AU24" s="107"/>
      <c r="AV24" s="107"/>
      <c r="AW24" s="107"/>
    </row>
    <row r="25" spans="1:49" ht="12" customHeight="1" x14ac:dyDescent="0.15">
      <c r="A25" s="66"/>
      <c r="B25" s="169"/>
      <c r="C25" s="169"/>
      <c r="D25" s="169"/>
      <c r="E25" s="169"/>
      <c r="F25" s="173"/>
      <c r="G25" s="174"/>
      <c r="H25" s="174"/>
      <c r="I25" s="174"/>
      <c r="J25" s="174"/>
      <c r="K25" s="174"/>
      <c r="L25" s="174"/>
      <c r="M25" s="174"/>
      <c r="N25" s="174"/>
      <c r="O25" s="174"/>
      <c r="P25" s="174"/>
      <c r="Q25" s="174"/>
      <c r="R25" s="174"/>
      <c r="S25" s="174"/>
      <c r="T25" s="175"/>
      <c r="U25" s="169"/>
      <c r="V25" s="169"/>
      <c r="W25" s="169"/>
      <c r="X25" s="169"/>
      <c r="Y25" s="179"/>
      <c r="Z25" s="179"/>
      <c r="AA25" s="179"/>
      <c r="AB25" s="179"/>
      <c r="AC25" s="179"/>
      <c r="AD25" s="179"/>
      <c r="AE25" s="179"/>
      <c r="AF25" s="179"/>
      <c r="AG25" s="179"/>
      <c r="AH25" s="179"/>
      <c r="AI25" s="179"/>
      <c r="AJ25" s="179"/>
      <c r="AK25" s="179"/>
      <c r="AL25" s="67"/>
      <c r="AO25" s="107"/>
      <c r="AP25" s="107"/>
      <c r="AQ25" s="107"/>
      <c r="AR25" s="107"/>
      <c r="AT25" s="107"/>
      <c r="AU25" s="107"/>
      <c r="AV25" s="107"/>
      <c r="AW25" s="107"/>
    </row>
    <row r="26" spans="1:49" ht="12" customHeight="1" x14ac:dyDescent="0.15">
      <c r="A26" s="66"/>
      <c r="AL26" s="67"/>
    </row>
    <row r="27" spans="1:49" ht="12" customHeight="1" x14ac:dyDescent="0.15">
      <c r="A27" s="66"/>
      <c r="AL27" s="67"/>
    </row>
    <row r="28" spans="1:49" ht="12" customHeight="1" x14ac:dyDescent="0.15">
      <c r="A28" s="66"/>
      <c r="B28" s="115" t="s">
        <v>139</v>
      </c>
      <c r="AL28" s="67"/>
    </row>
    <row r="29" spans="1:49" ht="12" customHeight="1" x14ac:dyDescent="0.15">
      <c r="A29" s="66"/>
      <c r="B29" s="113"/>
      <c r="C29" s="114"/>
      <c r="D29" s="79"/>
      <c r="AL29" s="67"/>
    </row>
    <row r="30" spans="1:49" ht="12.75" customHeight="1" x14ac:dyDescent="0.15">
      <c r="A30" s="66"/>
      <c r="B30" s="166" t="s">
        <v>127</v>
      </c>
      <c r="C30" s="167"/>
      <c r="D30" s="145" t="s">
        <v>150</v>
      </c>
      <c r="E30" s="146"/>
      <c r="F30" s="146"/>
      <c r="G30" s="146"/>
      <c r="H30" s="146"/>
      <c r="I30" s="146"/>
      <c r="J30" s="146"/>
      <c r="K30" s="146"/>
      <c r="L30" s="146"/>
      <c r="M30" s="146"/>
      <c r="N30" s="146"/>
      <c r="O30" s="146"/>
      <c r="P30" s="146"/>
      <c r="Q30" s="146"/>
      <c r="R30" s="146"/>
      <c r="S30" s="146"/>
      <c r="T30" s="146"/>
      <c r="U30" s="147"/>
      <c r="V30" s="157" t="s">
        <v>151</v>
      </c>
      <c r="W30" s="158"/>
      <c r="X30" s="158"/>
      <c r="Y30" s="158"/>
      <c r="Z30" s="158"/>
      <c r="AA30" s="158"/>
      <c r="AB30" s="158"/>
      <c r="AC30" s="158"/>
      <c r="AD30" s="158"/>
      <c r="AE30" s="158"/>
      <c r="AF30" s="158"/>
      <c r="AG30" s="158"/>
      <c r="AH30" s="158"/>
      <c r="AI30" s="158"/>
      <c r="AJ30" s="146"/>
      <c r="AK30" s="147"/>
      <c r="AL30" s="67"/>
    </row>
    <row r="31" spans="1:49" ht="12" customHeight="1" x14ac:dyDescent="0.15">
      <c r="A31" s="66"/>
      <c r="B31" s="164">
        <v>1</v>
      </c>
      <c r="C31" s="165"/>
      <c r="D31" s="148" t="s">
        <v>140</v>
      </c>
      <c r="E31" s="149"/>
      <c r="F31" s="149"/>
      <c r="G31" s="149"/>
      <c r="H31" s="149"/>
      <c r="I31" s="149"/>
      <c r="J31" s="149"/>
      <c r="K31" s="149"/>
      <c r="L31" s="149"/>
      <c r="M31" s="149"/>
      <c r="N31" s="149"/>
      <c r="O31" s="149"/>
      <c r="P31" s="149"/>
      <c r="Q31" s="149"/>
      <c r="R31" s="149"/>
      <c r="S31" s="149"/>
      <c r="T31" s="149"/>
      <c r="U31" s="150"/>
      <c r="V31" s="159" t="s">
        <v>141</v>
      </c>
      <c r="W31" s="146"/>
      <c r="X31" s="146"/>
      <c r="Y31" s="146"/>
      <c r="Z31" s="146"/>
      <c r="AA31" s="146"/>
      <c r="AB31" s="146"/>
      <c r="AC31" s="146"/>
      <c r="AD31" s="146"/>
      <c r="AE31" s="146"/>
      <c r="AF31" s="146"/>
      <c r="AG31" s="146"/>
      <c r="AH31" s="146"/>
      <c r="AI31" s="146"/>
      <c r="AJ31" s="146"/>
      <c r="AK31" s="147"/>
      <c r="AL31" s="67"/>
    </row>
    <row r="32" spans="1:49" ht="12" customHeight="1" x14ac:dyDescent="0.15">
      <c r="A32" s="66"/>
      <c r="B32" s="165"/>
      <c r="C32" s="165"/>
      <c r="D32" s="151"/>
      <c r="E32" s="152"/>
      <c r="F32" s="152"/>
      <c r="G32" s="152"/>
      <c r="H32" s="152"/>
      <c r="I32" s="152"/>
      <c r="J32" s="152"/>
      <c r="K32" s="152"/>
      <c r="L32" s="152"/>
      <c r="M32" s="152"/>
      <c r="N32" s="152"/>
      <c r="O32" s="152"/>
      <c r="P32" s="152"/>
      <c r="Q32" s="152"/>
      <c r="R32" s="152"/>
      <c r="S32" s="152"/>
      <c r="T32" s="152"/>
      <c r="U32" s="153"/>
      <c r="V32" s="159"/>
      <c r="W32" s="146"/>
      <c r="X32" s="146"/>
      <c r="Y32" s="146"/>
      <c r="Z32" s="146"/>
      <c r="AA32" s="146"/>
      <c r="AB32" s="146"/>
      <c r="AC32" s="146"/>
      <c r="AD32" s="146"/>
      <c r="AE32" s="146"/>
      <c r="AF32" s="146"/>
      <c r="AG32" s="146"/>
      <c r="AH32" s="146"/>
      <c r="AI32" s="146"/>
      <c r="AJ32" s="146"/>
      <c r="AK32" s="147"/>
      <c r="AL32" s="67"/>
    </row>
    <row r="33" spans="1:38" ht="12" customHeight="1" x14ac:dyDescent="0.15">
      <c r="A33" s="66"/>
      <c r="B33" s="164">
        <v>2</v>
      </c>
      <c r="C33" s="165"/>
      <c r="D33" s="148" t="s">
        <v>152</v>
      </c>
      <c r="E33" s="149"/>
      <c r="F33" s="149"/>
      <c r="G33" s="149"/>
      <c r="H33" s="149"/>
      <c r="I33" s="149"/>
      <c r="J33" s="149"/>
      <c r="K33" s="149"/>
      <c r="L33" s="149"/>
      <c r="M33" s="149"/>
      <c r="N33" s="149"/>
      <c r="O33" s="149"/>
      <c r="P33" s="149"/>
      <c r="Q33" s="149"/>
      <c r="R33" s="149"/>
      <c r="S33" s="149"/>
      <c r="T33" s="149"/>
      <c r="U33" s="150"/>
      <c r="V33" s="159" t="s">
        <v>153</v>
      </c>
      <c r="W33" s="146"/>
      <c r="X33" s="146"/>
      <c r="Y33" s="146"/>
      <c r="Z33" s="146"/>
      <c r="AA33" s="146"/>
      <c r="AB33" s="146"/>
      <c r="AC33" s="146"/>
      <c r="AD33" s="146"/>
      <c r="AE33" s="146"/>
      <c r="AF33" s="146"/>
      <c r="AG33" s="146"/>
      <c r="AH33" s="146"/>
      <c r="AI33" s="146"/>
      <c r="AJ33" s="146"/>
      <c r="AK33" s="147"/>
      <c r="AL33" s="67"/>
    </row>
    <row r="34" spans="1:38" ht="12" customHeight="1" x14ac:dyDescent="0.15">
      <c r="A34" s="66"/>
      <c r="B34" s="165"/>
      <c r="C34" s="165"/>
      <c r="D34" s="151"/>
      <c r="E34" s="152"/>
      <c r="F34" s="152"/>
      <c r="G34" s="152"/>
      <c r="H34" s="152"/>
      <c r="I34" s="152"/>
      <c r="J34" s="152"/>
      <c r="K34" s="152"/>
      <c r="L34" s="152"/>
      <c r="M34" s="152"/>
      <c r="N34" s="152"/>
      <c r="O34" s="152"/>
      <c r="P34" s="152"/>
      <c r="Q34" s="152"/>
      <c r="R34" s="152"/>
      <c r="S34" s="152"/>
      <c r="T34" s="152"/>
      <c r="U34" s="153"/>
      <c r="V34" s="159"/>
      <c r="W34" s="146"/>
      <c r="X34" s="146"/>
      <c r="Y34" s="146"/>
      <c r="Z34" s="146"/>
      <c r="AA34" s="146"/>
      <c r="AB34" s="146"/>
      <c r="AC34" s="146"/>
      <c r="AD34" s="146"/>
      <c r="AE34" s="146"/>
      <c r="AF34" s="146"/>
      <c r="AG34" s="146"/>
      <c r="AH34" s="146"/>
      <c r="AI34" s="146"/>
      <c r="AJ34" s="146"/>
      <c r="AK34" s="147"/>
      <c r="AL34" s="67"/>
    </row>
    <row r="35" spans="1:38" ht="12" customHeight="1" x14ac:dyDescent="0.15">
      <c r="A35" s="66"/>
      <c r="B35" s="164">
        <v>3</v>
      </c>
      <c r="C35" s="165"/>
      <c r="D35" s="148" t="s">
        <v>154</v>
      </c>
      <c r="E35" s="149"/>
      <c r="F35" s="149"/>
      <c r="G35" s="149"/>
      <c r="H35" s="149"/>
      <c r="I35" s="149"/>
      <c r="J35" s="149"/>
      <c r="K35" s="149"/>
      <c r="L35" s="149"/>
      <c r="M35" s="149"/>
      <c r="N35" s="149"/>
      <c r="O35" s="149"/>
      <c r="P35" s="149"/>
      <c r="Q35" s="149"/>
      <c r="R35" s="149"/>
      <c r="S35" s="149"/>
      <c r="T35" s="149"/>
      <c r="U35" s="150"/>
      <c r="V35" s="159" t="s">
        <v>155</v>
      </c>
      <c r="W35" s="146"/>
      <c r="X35" s="146"/>
      <c r="Y35" s="146"/>
      <c r="Z35" s="146"/>
      <c r="AA35" s="146"/>
      <c r="AB35" s="146"/>
      <c r="AC35" s="146"/>
      <c r="AD35" s="146"/>
      <c r="AE35" s="146"/>
      <c r="AF35" s="146"/>
      <c r="AG35" s="146"/>
      <c r="AH35" s="146"/>
      <c r="AI35" s="146"/>
      <c r="AJ35" s="146"/>
      <c r="AK35" s="147"/>
      <c r="AL35" s="67"/>
    </row>
    <row r="36" spans="1:38" ht="12" customHeight="1" x14ac:dyDescent="0.15">
      <c r="A36" s="66"/>
      <c r="B36" s="165"/>
      <c r="C36" s="165"/>
      <c r="D36" s="151"/>
      <c r="E36" s="152"/>
      <c r="F36" s="152"/>
      <c r="G36" s="152"/>
      <c r="H36" s="152"/>
      <c r="I36" s="152"/>
      <c r="J36" s="152"/>
      <c r="K36" s="152"/>
      <c r="L36" s="152"/>
      <c r="M36" s="152"/>
      <c r="N36" s="152"/>
      <c r="O36" s="152"/>
      <c r="P36" s="152"/>
      <c r="Q36" s="152"/>
      <c r="R36" s="152"/>
      <c r="S36" s="152"/>
      <c r="T36" s="152"/>
      <c r="U36" s="153"/>
      <c r="V36" s="159"/>
      <c r="W36" s="146"/>
      <c r="X36" s="146"/>
      <c r="Y36" s="146"/>
      <c r="Z36" s="146"/>
      <c r="AA36" s="146"/>
      <c r="AB36" s="146"/>
      <c r="AC36" s="146"/>
      <c r="AD36" s="146"/>
      <c r="AE36" s="146"/>
      <c r="AF36" s="146"/>
      <c r="AG36" s="146"/>
      <c r="AH36" s="146"/>
      <c r="AI36" s="146"/>
      <c r="AJ36" s="146"/>
      <c r="AK36" s="147"/>
      <c r="AL36" s="67"/>
    </row>
    <row r="37" spans="1:38" ht="12" customHeight="1" x14ac:dyDescent="0.15">
      <c r="A37" s="66"/>
      <c r="B37" s="164">
        <v>4</v>
      </c>
      <c r="C37" s="165"/>
      <c r="D37" s="148" t="s">
        <v>156</v>
      </c>
      <c r="E37" s="149"/>
      <c r="F37" s="149"/>
      <c r="G37" s="149"/>
      <c r="H37" s="149"/>
      <c r="I37" s="149"/>
      <c r="J37" s="149"/>
      <c r="K37" s="149"/>
      <c r="L37" s="149"/>
      <c r="M37" s="149"/>
      <c r="N37" s="149"/>
      <c r="O37" s="149"/>
      <c r="P37" s="149"/>
      <c r="Q37" s="149"/>
      <c r="R37" s="149"/>
      <c r="S37" s="149"/>
      <c r="T37" s="149"/>
      <c r="U37" s="150"/>
      <c r="V37" s="159" t="s">
        <v>157</v>
      </c>
      <c r="W37" s="146"/>
      <c r="X37" s="146"/>
      <c r="Y37" s="146"/>
      <c r="Z37" s="146"/>
      <c r="AA37" s="146"/>
      <c r="AB37" s="146"/>
      <c r="AC37" s="146"/>
      <c r="AD37" s="146"/>
      <c r="AE37" s="146"/>
      <c r="AF37" s="146"/>
      <c r="AG37" s="146"/>
      <c r="AH37" s="146"/>
      <c r="AI37" s="146"/>
      <c r="AJ37" s="146"/>
      <c r="AK37" s="147"/>
      <c r="AL37" s="67"/>
    </row>
    <row r="38" spans="1:38" ht="12" customHeight="1" x14ac:dyDescent="0.15">
      <c r="A38" s="66"/>
      <c r="B38" s="165"/>
      <c r="C38" s="165"/>
      <c r="D38" s="151"/>
      <c r="E38" s="152"/>
      <c r="F38" s="152"/>
      <c r="G38" s="152"/>
      <c r="H38" s="152"/>
      <c r="I38" s="152"/>
      <c r="J38" s="152"/>
      <c r="K38" s="152"/>
      <c r="L38" s="152"/>
      <c r="M38" s="152"/>
      <c r="N38" s="152"/>
      <c r="O38" s="152"/>
      <c r="P38" s="152"/>
      <c r="Q38" s="152"/>
      <c r="R38" s="152"/>
      <c r="S38" s="152"/>
      <c r="T38" s="152"/>
      <c r="U38" s="153"/>
      <c r="V38" s="159"/>
      <c r="W38" s="146"/>
      <c r="X38" s="146"/>
      <c r="Y38" s="146"/>
      <c r="Z38" s="146"/>
      <c r="AA38" s="146"/>
      <c r="AB38" s="146"/>
      <c r="AC38" s="146"/>
      <c r="AD38" s="146"/>
      <c r="AE38" s="146"/>
      <c r="AF38" s="146"/>
      <c r="AG38" s="146"/>
      <c r="AH38" s="146"/>
      <c r="AI38" s="146"/>
      <c r="AJ38" s="146"/>
      <c r="AK38" s="147"/>
      <c r="AL38" s="67"/>
    </row>
    <row r="39" spans="1:38" ht="12" customHeight="1" x14ac:dyDescent="0.15">
      <c r="A39" s="66"/>
      <c r="B39" s="160">
        <v>5</v>
      </c>
      <c r="C39" s="161"/>
      <c r="D39" s="148" t="s">
        <v>158</v>
      </c>
      <c r="E39" s="149"/>
      <c r="F39" s="149"/>
      <c r="G39" s="149"/>
      <c r="H39" s="149"/>
      <c r="I39" s="149"/>
      <c r="J39" s="149"/>
      <c r="K39" s="149"/>
      <c r="L39" s="149"/>
      <c r="M39" s="149"/>
      <c r="N39" s="149"/>
      <c r="O39" s="149"/>
      <c r="P39" s="149"/>
      <c r="Q39" s="149"/>
      <c r="R39" s="149"/>
      <c r="S39" s="149"/>
      <c r="T39" s="149"/>
      <c r="U39" s="150"/>
      <c r="V39" s="142" t="s">
        <v>172</v>
      </c>
      <c r="W39" s="143"/>
      <c r="X39" s="143"/>
      <c r="Y39" s="143"/>
      <c r="Z39" s="143"/>
      <c r="AA39" s="143"/>
      <c r="AB39" s="143"/>
      <c r="AC39" s="143"/>
      <c r="AD39" s="143"/>
      <c r="AE39" s="143"/>
      <c r="AF39" s="143"/>
      <c r="AG39" s="143"/>
      <c r="AH39" s="143"/>
      <c r="AI39" s="143"/>
      <c r="AJ39" s="143"/>
      <c r="AK39" s="144"/>
      <c r="AL39" s="67"/>
    </row>
    <row r="40" spans="1:38" ht="12" customHeight="1" x14ac:dyDescent="0.15">
      <c r="A40" s="66"/>
      <c r="B40" s="162"/>
      <c r="C40" s="162"/>
      <c r="D40" s="154"/>
      <c r="E40" s="155"/>
      <c r="F40" s="155"/>
      <c r="G40" s="155"/>
      <c r="H40" s="155"/>
      <c r="I40" s="155"/>
      <c r="J40" s="155"/>
      <c r="K40" s="155"/>
      <c r="L40" s="155"/>
      <c r="M40" s="155"/>
      <c r="N40" s="155"/>
      <c r="O40" s="155"/>
      <c r="P40" s="155"/>
      <c r="Q40" s="155"/>
      <c r="R40" s="155"/>
      <c r="S40" s="155"/>
      <c r="T40" s="155"/>
      <c r="U40" s="156"/>
      <c r="V40" s="142"/>
      <c r="W40" s="143"/>
      <c r="X40" s="143"/>
      <c r="Y40" s="143"/>
      <c r="Z40" s="143"/>
      <c r="AA40" s="143"/>
      <c r="AB40" s="143"/>
      <c r="AC40" s="143"/>
      <c r="AD40" s="143"/>
      <c r="AE40" s="143"/>
      <c r="AF40" s="143"/>
      <c r="AG40" s="143"/>
      <c r="AH40" s="143"/>
      <c r="AI40" s="143"/>
      <c r="AJ40" s="143"/>
      <c r="AK40" s="144"/>
      <c r="AL40" s="67"/>
    </row>
    <row r="41" spans="1:38" ht="12" customHeight="1" x14ac:dyDescent="0.15">
      <c r="A41" s="66"/>
      <c r="B41" s="163"/>
      <c r="C41" s="163"/>
      <c r="D41" s="151"/>
      <c r="E41" s="152"/>
      <c r="F41" s="152"/>
      <c r="G41" s="152"/>
      <c r="H41" s="152"/>
      <c r="I41" s="152"/>
      <c r="J41" s="152"/>
      <c r="K41" s="152"/>
      <c r="L41" s="152"/>
      <c r="M41" s="152"/>
      <c r="N41" s="152"/>
      <c r="O41" s="152"/>
      <c r="P41" s="152"/>
      <c r="Q41" s="152"/>
      <c r="R41" s="152"/>
      <c r="S41" s="152"/>
      <c r="T41" s="152"/>
      <c r="U41" s="153"/>
      <c r="V41" s="142"/>
      <c r="W41" s="143"/>
      <c r="X41" s="143"/>
      <c r="Y41" s="143"/>
      <c r="Z41" s="143"/>
      <c r="AA41" s="143"/>
      <c r="AB41" s="143"/>
      <c r="AC41" s="143"/>
      <c r="AD41" s="143"/>
      <c r="AE41" s="143"/>
      <c r="AF41" s="143"/>
      <c r="AG41" s="143"/>
      <c r="AH41" s="143"/>
      <c r="AI41" s="143"/>
      <c r="AJ41" s="143"/>
      <c r="AK41" s="144"/>
      <c r="AL41" s="67"/>
    </row>
    <row r="42" spans="1:38" ht="12" customHeight="1" x14ac:dyDescent="0.15">
      <c r="A42" s="66"/>
      <c r="AL42" s="67"/>
    </row>
    <row r="43" spans="1:38" ht="12" customHeight="1" x14ac:dyDescent="0.15">
      <c r="A43" s="66"/>
      <c r="AL43" s="67"/>
    </row>
    <row r="44" spans="1:38" ht="12" customHeight="1" x14ac:dyDescent="0.15">
      <c r="A44" s="66"/>
      <c r="AL44" s="67"/>
    </row>
    <row r="45" spans="1:38" ht="12" customHeight="1" x14ac:dyDescent="0.15">
      <c r="A45" s="66"/>
      <c r="AL45" s="67"/>
    </row>
    <row r="46" spans="1:38" ht="12" customHeight="1" x14ac:dyDescent="0.15">
      <c r="A46" s="66"/>
      <c r="AL46" s="67"/>
    </row>
    <row r="47" spans="1:38" ht="12" customHeight="1" x14ac:dyDescent="0.15">
      <c r="A47" s="66"/>
      <c r="AL47" s="67"/>
    </row>
    <row r="48" spans="1:38" ht="12" customHeight="1" x14ac:dyDescent="0.15">
      <c r="A48" s="66"/>
      <c r="AL48" s="67"/>
    </row>
    <row r="49" spans="1:38" ht="12" customHeight="1" x14ac:dyDescent="0.15">
      <c r="A49" s="66"/>
      <c r="AL49" s="67"/>
    </row>
    <row r="50" spans="1:38" ht="12" customHeight="1" x14ac:dyDescent="0.15">
      <c r="A50" s="66"/>
      <c r="AL50" s="67"/>
    </row>
    <row r="51" spans="1:38" ht="12" customHeight="1" x14ac:dyDescent="0.15">
      <c r="A51" s="66"/>
      <c r="AL51" s="67"/>
    </row>
    <row r="52" spans="1:38" ht="12" customHeight="1" x14ac:dyDescent="0.15">
      <c r="A52" s="66"/>
      <c r="B52" s="65"/>
      <c r="AL52" s="67"/>
    </row>
    <row r="53" spans="1:38" ht="12" customHeight="1" x14ac:dyDescent="0.15">
      <c r="A53" s="66"/>
      <c r="AL53" s="67"/>
    </row>
    <row r="54" spans="1:38" ht="12" customHeight="1" x14ac:dyDescent="0.15">
      <c r="A54" s="66"/>
      <c r="AL54" s="67"/>
    </row>
    <row r="55" spans="1:38" ht="12" customHeight="1" x14ac:dyDescent="0.15">
      <c r="A55" s="66"/>
      <c r="AL55" s="67"/>
    </row>
    <row r="56" spans="1:38" ht="12" customHeight="1" x14ac:dyDescent="0.15">
      <c r="A56" s="66"/>
      <c r="AL56" s="67"/>
    </row>
    <row r="57" spans="1:38" ht="12" customHeight="1" x14ac:dyDescent="0.15">
      <c r="A57" s="66"/>
      <c r="B57" s="77"/>
      <c r="G57" s="65"/>
      <c r="AL57" s="67"/>
    </row>
    <row r="58" spans="1:38" ht="12" customHeight="1" x14ac:dyDescent="0.15">
      <c r="A58" s="66"/>
      <c r="AL58" s="67"/>
    </row>
    <row r="59" spans="1:38" ht="12" customHeight="1" x14ac:dyDescent="0.15">
      <c r="A59" s="71"/>
      <c r="B59" s="72"/>
      <c r="C59" s="72"/>
      <c r="D59" s="72"/>
      <c r="E59" s="72"/>
      <c r="F59" s="72"/>
      <c r="G59" s="72"/>
      <c r="H59" s="72"/>
      <c r="I59" s="72"/>
      <c r="J59" s="72"/>
      <c r="K59" s="72"/>
      <c r="L59" s="72"/>
      <c r="M59" s="72"/>
      <c r="N59" s="72"/>
      <c r="O59" s="72"/>
      <c r="P59" s="72"/>
      <c r="Q59" s="72"/>
      <c r="R59" s="72"/>
      <c r="S59" s="72"/>
      <c r="T59" s="72"/>
      <c r="U59" s="72"/>
      <c r="V59" s="72"/>
      <c r="W59" s="72"/>
      <c r="X59" s="72"/>
      <c r="Y59" s="72"/>
      <c r="Z59" s="72"/>
      <c r="AA59" s="72"/>
      <c r="AB59" s="72"/>
      <c r="AC59" s="72"/>
      <c r="AD59" s="72"/>
      <c r="AE59" s="72"/>
      <c r="AF59" s="72"/>
      <c r="AG59" s="72"/>
      <c r="AH59" s="72"/>
      <c r="AI59" s="72"/>
      <c r="AJ59" s="72"/>
      <c r="AK59" s="72"/>
      <c r="AL59" s="73"/>
    </row>
  </sheetData>
  <sheetProtection algorithmName="SHA-512" hashValue="BYNq8YZ907itgLJ69IiELL4O6ccFP9sE+Hf6XvGW8E950YyhfGIGd1W8/vqLohpBiHpQz106+Nvw4vRiqqUYww==" saltValue="Wl9FcXP67O1Zg+6pFgX16g==" spinCount="100000" sheet="1" objects="1" scenarios="1"/>
  <mergeCells count="80">
    <mergeCell ref="B1:E1"/>
    <mergeCell ref="G1:W1"/>
    <mergeCell ref="X1:Z1"/>
    <mergeCell ref="AB1:AD1"/>
    <mergeCell ref="AE1:AL1"/>
    <mergeCell ref="B8:E8"/>
    <mergeCell ref="F8:T8"/>
    <mergeCell ref="U8:X8"/>
    <mergeCell ref="Y8:AK8"/>
    <mergeCell ref="AI2:AL2"/>
    <mergeCell ref="B3:E3"/>
    <mergeCell ref="G3:W3"/>
    <mergeCell ref="X3:Z3"/>
    <mergeCell ref="AB3:AD3"/>
    <mergeCell ref="AE3:AH3"/>
    <mergeCell ref="AI3:AL3"/>
    <mergeCell ref="B2:E2"/>
    <mergeCell ref="G2:W2"/>
    <mergeCell ref="X2:Z2"/>
    <mergeCell ref="AB2:AD2"/>
    <mergeCell ref="AE2:AH2"/>
    <mergeCell ref="B4:E4"/>
    <mergeCell ref="G4:W4"/>
    <mergeCell ref="X4:AD4"/>
    <mergeCell ref="AE4:AH4"/>
    <mergeCell ref="AI4:AL4"/>
    <mergeCell ref="B9:E9"/>
    <mergeCell ref="F9:T9"/>
    <mergeCell ref="U9:X9"/>
    <mergeCell ref="Y9:AK9"/>
    <mergeCell ref="B10:E11"/>
    <mergeCell ref="F10:T11"/>
    <mergeCell ref="U10:X11"/>
    <mergeCell ref="Y10:AK11"/>
    <mergeCell ref="B12:E13"/>
    <mergeCell ref="F12:T13"/>
    <mergeCell ref="U12:X13"/>
    <mergeCell ref="Y12:AK13"/>
    <mergeCell ref="B14:E15"/>
    <mergeCell ref="F14:T15"/>
    <mergeCell ref="U14:X15"/>
    <mergeCell ref="Y14:AK15"/>
    <mergeCell ref="B16:E17"/>
    <mergeCell ref="F16:T17"/>
    <mergeCell ref="U16:X17"/>
    <mergeCell ref="Y16:AK17"/>
    <mergeCell ref="B18:E19"/>
    <mergeCell ref="F18:T19"/>
    <mergeCell ref="U18:X19"/>
    <mergeCell ref="Y18:AK19"/>
    <mergeCell ref="B30:C30"/>
    <mergeCell ref="B20:E21"/>
    <mergeCell ref="F20:T21"/>
    <mergeCell ref="U20:X21"/>
    <mergeCell ref="Y20:AK21"/>
    <mergeCell ref="B22:E23"/>
    <mergeCell ref="F22:T23"/>
    <mergeCell ref="U22:X23"/>
    <mergeCell ref="Y22:AK23"/>
    <mergeCell ref="B24:E25"/>
    <mergeCell ref="F24:T25"/>
    <mergeCell ref="U24:X25"/>
    <mergeCell ref="Y24:AK25"/>
    <mergeCell ref="B39:C41"/>
    <mergeCell ref="B35:C36"/>
    <mergeCell ref="B37:C38"/>
    <mergeCell ref="B31:C32"/>
    <mergeCell ref="B33:C34"/>
    <mergeCell ref="V39:AK41"/>
    <mergeCell ref="D30:U30"/>
    <mergeCell ref="D31:U32"/>
    <mergeCell ref="D33:U34"/>
    <mergeCell ref="D35:U36"/>
    <mergeCell ref="D37:U38"/>
    <mergeCell ref="D39:U41"/>
    <mergeCell ref="V30:AK30"/>
    <mergeCell ref="V31:AK32"/>
    <mergeCell ref="V33:AK34"/>
    <mergeCell ref="V35:AK36"/>
    <mergeCell ref="V37:AK38"/>
  </mergeCells>
  <printOptions horizontalCentered="1"/>
  <pageMargins left="0.31496062992125984" right="0.31496062992125984" top="0.55118110236220474" bottom="0.55118110236220474" header="0.31496062992125984" footer="0.31496062992125984"/>
  <pageSetup paperSize="9" fitToHeight="0" orientation="portrait" useFirstPageNumber="1" r:id="rId1"/>
  <headerFooter>
    <oddHeader>&amp;L&amp;"Tahoma,Regular"&amp;8&amp;K03+000User: Srinivasa Rao Masanam</oddHeader>
    <oddFooter>&amp;R&amp;"Tahoma,Regular"&amp;8&amp;K03+000Licensed to: VSquare Consulting Engineers</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oopCalcs"/>
  <dimension ref="A1:AP43"/>
  <sheetViews>
    <sheetView showGridLines="0" topLeftCell="A10" zoomScaleNormal="100" workbookViewId="0">
      <selection activeCell="R40" sqref="R40:U40"/>
    </sheetView>
  </sheetViews>
  <sheetFormatPr defaultColWidth="3.1640625" defaultRowHeight="17.25" x14ac:dyDescent="0.4"/>
  <cols>
    <col min="1" max="1" width="2" style="3" customWidth="1"/>
    <col min="2" max="9" width="3.1640625" style="3"/>
    <col min="10" max="10" width="3.6640625" style="3" bestFit="1" customWidth="1"/>
    <col min="11" max="14" width="3.1640625" style="3"/>
    <col min="15" max="15" width="3.1640625" style="3" customWidth="1"/>
    <col min="16" max="17" width="3.1640625" style="3"/>
    <col min="18" max="18" width="3.1640625" style="3" customWidth="1"/>
    <col min="19" max="19" width="3.1640625" style="3"/>
    <col min="20" max="20" width="3.6640625" style="3" bestFit="1" customWidth="1"/>
    <col min="21" max="16384" width="3.1640625" style="3"/>
  </cols>
  <sheetData>
    <row r="1" spans="1:42" ht="15" customHeight="1" x14ac:dyDescent="0.4">
      <c r="A1" s="1"/>
      <c r="B1" s="237" t="s">
        <v>0</v>
      </c>
      <c r="C1" s="237"/>
      <c r="D1" s="237"/>
      <c r="E1" s="237"/>
      <c r="F1" s="2" t="s">
        <v>1</v>
      </c>
      <c r="G1" s="240" t="s">
        <v>2</v>
      </c>
      <c r="H1" s="240"/>
      <c r="I1" s="240"/>
      <c r="J1" s="240"/>
      <c r="K1" s="240"/>
      <c r="L1" s="240"/>
      <c r="M1" s="240"/>
      <c r="N1" s="240"/>
      <c r="O1" s="240"/>
      <c r="P1" s="240"/>
      <c r="Q1" s="240"/>
      <c r="R1" s="241"/>
      <c r="S1" s="242" t="s">
        <v>3</v>
      </c>
      <c r="T1" s="237"/>
      <c r="U1" s="237"/>
      <c r="V1" s="2" t="s">
        <v>1</v>
      </c>
      <c r="W1" s="234" t="s">
        <v>4</v>
      </c>
      <c r="X1" s="234"/>
      <c r="Y1" s="235"/>
      <c r="Z1" s="236" t="s">
        <v>5</v>
      </c>
      <c r="AA1" s="236"/>
      <c r="AB1" s="236"/>
      <c r="AC1" s="236"/>
      <c r="AD1" s="236"/>
      <c r="AE1" s="236"/>
      <c r="AF1" s="236"/>
      <c r="AG1" s="236"/>
    </row>
    <row r="2" spans="1:42" ht="15" customHeight="1" x14ac:dyDescent="0.4">
      <c r="A2" s="1"/>
      <c r="B2" s="237" t="s">
        <v>6</v>
      </c>
      <c r="C2" s="237"/>
      <c r="D2" s="237"/>
      <c r="E2" s="237"/>
      <c r="F2" s="2" t="s">
        <v>1</v>
      </c>
      <c r="G2" s="240" t="s">
        <v>7</v>
      </c>
      <c r="H2" s="240"/>
      <c r="I2" s="240"/>
      <c r="J2" s="240"/>
      <c r="K2" s="240"/>
      <c r="L2" s="240"/>
      <c r="M2" s="240"/>
      <c r="N2" s="240"/>
      <c r="O2" s="240"/>
      <c r="P2" s="240"/>
      <c r="Q2" s="240"/>
      <c r="R2" s="241"/>
      <c r="S2" s="242" t="s">
        <v>8</v>
      </c>
      <c r="T2" s="237"/>
      <c r="U2" s="237"/>
      <c r="V2" s="2" t="s">
        <v>1</v>
      </c>
      <c r="W2" s="234" t="s">
        <v>9</v>
      </c>
      <c r="X2" s="234"/>
      <c r="Y2" s="235"/>
      <c r="Z2" s="236" t="s">
        <v>10</v>
      </c>
      <c r="AA2" s="236"/>
      <c r="AB2" s="236"/>
      <c r="AC2" s="236"/>
      <c r="AD2" s="236" t="s">
        <v>11</v>
      </c>
      <c r="AE2" s="236"/>
      <c r="AF2" s="236"/>
      <c r="AG2" s="236"/>
    </row>
    <row r="3" spans="1:42" ht="15" customHeight="1" thickBot="1" x14ac:dyDescent="0.45">
      <c r="A3" s="1"/>
      <c r="B3" s="237" t="s">
        <v>12</v>
      </c>
      <c r="C3" s="237"/>
      <c r="D3" s="237"/>
      <c r="E3" s="237"/>
      <c r="F3" s="2" t="s">
        <v>1</v>
      </c>
      <c r="G3" s="240" t="s">
        <v>13</v>
      </c>
      <c r="H3" s="240"/>
      <c r="I3" s="240"/>
      <c r="J3" s="240"/>
      <c r="K3" s="240"/>
      <c r="L3" s="240"/>
      <c r="M3" s="240"/>
      <c r="N3" s="240"/>
      <c r="O3" s="240"/>
      <c r="P3" s="240"/>
      <c r="Q3" s="240"/>
      <c r="R3" s="241"/>
      <c r="S3" s="242" t="s">
        <v>14</v>
      </c>
      <c r="T3" s="237"/>
      <c r="U3" s="237"/>
      <c r="V3" s="2" t="s">
        <v>1</v>
      </c>
      <c r="W3" s="234" t="s">
        <v>15</v>
      </c>
      <c r="X3" s="234"/>
      <c r="Y3" s="235"/>
      <c r="Z3" s="243" t="s">
        <v>16</v>
      </c>
      <c r="AA3" s="243"/>
      <c r="AB3" s="243"/>
      <c r="AC3" s="243"/>
      <c r="AD3" s="243" t="s">
        <v>16</v>
      </c>
      <c r="AE3" s="243"/>
      <c r="AF3" s="243"/>
      <c r="AG3" s="243"/>
      <c r="AL3" s="4" t="s">
        <v>65</v>
      </c>
      <c r="AM3" s="5"/>
      <c r="AN3" s="5"/>
      <c r="AO3" s="5"/>
      <c r="AP3" s="6"/>
    </row>
    <row r="4" spans="1:42" ht="15" customHeight="1" thickTop="1" x14ac:dyDescent="0.4">
      <c r="A4" s="1"/>
      <c r="B4" s="237" t="s">
        <v>17</v>
      </c>
      <c r="C4" s="237"/>
      <c r="D4" s="237"/>
      <c r="E4" s="237"/>
      <c r="F4" s="2" t="s">
        <v>1</v>
      </c>
      <c r="G4" s="238" t="s">
        <v>18</v>
      </c>
      <c r="H4" s="238"/>
      <c r="I4" s="238"/>
      <c r="J4" s="238"/>
      <c r="K4" s="238"/>
      <c r="L4" s="238"/>
      <c r="M4" s="238"/>
      <c r="N4" s="238"/>
      <c r="O4" s="238"/>
      <c r="P4" s="238"/>
      <c r="Q4" s="238"/>
      <c r="R4" s="239"/>
      <c r="S4" s="244" t="s">
        <v>19</v>
      </c>
      <c r="T4" s="244"/>
      <c r="U4" s="244"/>
      <c r="V4" s="244"/>
      <c r="W4" s="244"/>
      <c r="X4" s="244"/>
      <c r="Y4" s="244"/>
      <c r="Z4" s="245">
        <v>43000</v>
      </c>
      <c r="AA4" s="245"/>
      <c r="AB4" s="245"/>
      <c r="AC4" s="245"/>
      <c r="AD4" s="246">
        <f ca="1">TODAY()</f>
        <v>43672</v>
      </c>
      <c r="AE4" s="246"/>
      <c r="AF4" s="246"/>
      <c r="AG4" s="246"/>
    </row>
    <row r="5" spans="1:42" x14ac:dyDescent="0.4">
      <c r="A5" s="7"/>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9"/>
    </row>
    <row r="6" spans="1:42" x14ac:dyDescent="0.4">
      <c r="A6" s="10"/>
      <c r="B6" s="11" t="s">
        <v>20</v>
      </c>
      <c r="K6" s="12"/>
      <c r="AG6" s="13"/>
    </row>
    <row r="7" spans="1:42" x14ac:dyDescent="0.4">
      <c r="A7" s="10"/>
      <c r="AG7" s="13"/>
    </row>
    <row r="8" spans="1:42" x14ac:dyDescent="0.4">
      <c r="A8" s="10"/>
      <c r="B8" s="3" t="s">
        <v>21</v>
      </c>
      <c r="J8" s="14" t="s">
        <v>1</v>
      </c>
      <c r="K8" s="251">
        <f>'Geometry Input'!X36</f>
        <v>45</v>
      </c>
      <c r="L8" s="252"/>
      <c r="M8" s="252"/>
      <c r="N8" s="252"/>
      <c r="P8" s="12" t="s">
        <v>22</v>
      </c>
      <c r="Q8" s="3" t="s">
        <v>23</v>
      </c>
      <c r="Y8" s="14" t="s">
        <v>1</v>
      </c>
      <c r="Z8" s="253">
        <f>'Geometry Input'!X15</f>
        <v>24</v>
      </c>
      <c r="AA8" s="254"/>
      <c r="AB8" s="254"/>
      <c r="AC8" s="254"/>
      <c r="AG8" s="13"/>
    </row>
    <row r="9" spans="1:42" x14ac:dyDescent="0.4">
      <c r="A9" s="10"/>
      <c r="B9" s="3" t="s">
        <v>24</v>
      </c>
      <c r="C9" s="15"/>
      <c r="AG9" s="13"/>
    </row>
    <row r="10" spans="1:42" x14ac:dyDescent="0.4">
      <c r="A10" s="10"/>
      <c r="H10" s="14" t="s">
        <v>25</v>
      </c>
      <c r="J10" s="14" t="s">
        <v>26</v>
      </c>
      <c r="K10" s="247">
        <f>(2*(K8/2*1000)*SIN((360/Z8)/2*PI()/180))/2</f>
        <v>2936.8393249511605</v>
      </c>
      <c r="L10" s="248"/>
      <c r="M10" s="248"/>
      <c r="N10" s="248"/>
      <c r="V10" s="7"/>
      <c r="W10" s="8"/>
      <c r="X10" s="8"/>
      <c r="Y10" s="8"/>
      <c r="Z10" s="8"/>
      <c r="AA10" s="8"/>
      <c r="AB10" s="8"/>
      <c r="AC10" s="8"/>
      <c r="AD10" s="8"/>
      <c r="AE10" s="16"/>
      <c r="AG10" s="13"/>
      <c r="AL10" s="99"/>
      <c r="AM10" s="100"/>
      <c r="AN10" s="100"/>
      <c r="AO10" s="100"/>
    </row>
    <row r="11" spans="1:42" x14ac:dyDescent="0.4">
      <c r="A11" s="10"/>
      <c r="B11" s="3" t="s">
        <v>27</v>
      </c>
      <c r="V11" s="10"/>
      <c r="AE11" s="17"/>
      <c r="AG11" s="13"/>
    </row>
    <row r="12" spans="1:42" x14ac:dyDescent="0.4">
      <c r="A12" s="10"/>
      <c r="H12" s="14" t="s">
        <v>28</v>
      </c>
      <c r="J12" s="14" t="s">
        <v>26</v>
      </c>
      <c r="K12" s="249">
        <f>'Geometry Input'!X30*1000</f>
        <v>0</v>
      </c>
      <c r="L12" s="250"/>
      <c r="M12" s="250"/>
      <c r="N12" s="250"/>
      <c r="V12" s="10"/>
      <c r="AE12" s="17"/>
      <c r="AG12" s="13"/>
    </row>
    <row r="13" spans="1:42" x14ac:dyDescent="0.4">
      <c r="A13" s="10"/>
      <c r="V13" s="10"/>
      <c r="AE13" s="17"/>
      <c r="AG13" s="13"/>
    </row>
    <row r="14" spans="1:42" ht="19.5" x14ac:dyDescent="0.4">
      <c r="A14" s="10"/>
      <c r="B14" s="18" t="s">
        <v>29</v>
      </c>
      <c r="J14" s="12" t="s">
        <v>1</v>
      </c>
      <c r="K14" s="19" t="s">
        <v>30</v>
      </c>
      <c r="L14" s="20"/>
      <c r="M14" s="20"/>
      <c r="N14" s="20"/>
      <c r="O14" s="21" t="s">
        <v>26</v>
      </c>
      <c r="P14" s="22" t="s">
        <v>31</v>
      </c>
      <c r="Q14" s="23"/>
      <c r="V14" s="10"/>
      <c r="AE14" s="17"/>
      <c r="AG14" s="13"/>
    </row>
    <row r="15" spans="1:42" x14ac:dyDescent="0.4">
      <c r="A15" s="10"/>
      <c r="V15" s="10"/>
      <c r="AE15" s="17"/>
      <c r="AF15" s="24"/>
      <c r="AG15" s="25"/>
    </row>
    <row r="16" spans="1:42" ht="19.5" x14ac:dyDescent="0.4">
      <c r="A16" s="10"/>
      <c r="B16" s="26" t="s">
        <v>32</v>
      </c>
      <c r="C16" s="18" t="s">
        <v>33</v>
      </c>
      <c r="H16" s="14" t="s">
        <v>26</v>
      </c>
      <c r="J16" s="18" t="s">
        <v>34</v>
      </c>
      <c r="K16" s="12"/>
      <c r="R16" s="27"/>
      <c r="S16" s="27"/>
      <c r="T16" s="27"/>
      <c r="V16" s="10"/>
      <c r="AE16" s="17"/>
      <c r="AF16" s="24"/>
      <c r="AG16" s="25"/>
    </row>
    <row r="17" spans="1:33" ht="19.5" x14ac:dyDescent="0.4">
      <c r="A17" s="10"/>
      <c r="B17" s="26" t="s">
        <v>32</v>
      </c>
      <c r="C17" s="18" t="s">
        <v>35</v>
      </c>
      <c r="H17" s="14" t="s">
        <v>26</v>
      </c>
      <c r="J17" s="18" t="s">
        <v>34</v>
      </c>
      <c r="K17" s="12"/>
      <c r="L17" s="28"/>
      <c r="M17" s="29"/>
      <c r="V17" s="10"/>
      <c r="AE17" s="17"/>
      <c r="AG17" s="13"/>
    </row>
    <row r="18" spans="1:33" ht="19.5" x14ac:dyDescent="0.4">
      <c r="A18" s="10"/>
      <c r="B18" s="26" t="s">
        <v>32</v>
      </c>
      <c r="C18" s="18" t="s">
        <v>36</v>
      </c>
      <c r="H18" s="14" t="s">
        <v>26</v>
      </c>
      <c r="J18" s="18" t="s">
        <v>37</v>
      </c>
      <c r="K18" s="12"/>
      <c r="L18" s="28"/>
      <c r="M18" s="29"/>
      <c r="U18" s="28"/>
      <c r="V18" s="30"/>
      <c r="W18" s="255" t="s">
        <v>38</v>
      </c>
      <c r="X18" s="256"/>
      <c r="Y18" s="256"/>
      <c r="Z18" s="256"/>
      <c r="AA18" s="256"/>
      <c r="AB18" s="256"/>
      <c r="AC18" s="256"/>
      <c r="AD18" s="256"/>
      <c r="AE18" s="17"/>
      <c r="AG18" s="13"/>
    </row>
    <row r="19" spans="1:33" ht="18" thickBot="1" x14ac:dyDescent="0.45">
      <c r="A19" s="10"/>
      <c r="M19" s="12"/>
      <c r="N19" s="27"/>
      <c r="O19" s="27"/>
      <c r="P19" s="27"/>
      <c r="U19" s="28"/>
      <c r="V19" s="31"/>
      <c r="W19" s="32"/>
      <c r="X19" s="32"/>
      <c r="Y19" s="32"/>
      <c r="Z19" s="32"/>
      <c r="AA19" s="33"/>
      <c r="AB19" s="33"/>
      <c r="AC19" s="33"/>
      <c r="AD19" s="32"/>
      <c r="AE19" s="34"/>
      <c r="AG19" s="13"/>
    </row>
    <row r="20" spans="1:33" ht="20.25" thickTop="1" x14ac:dyDescent="0.4">
      <c r="A20" s="10"/>
      <c r="F20" s="257" t="s">
        <v>39</v>
      </c>
      <c r="G20" s="258"/>
      <c r="H20" s="261" t="s">
        <v>26</v>
      </c>
      <c r="I20" s="262" t="s">
        <v>37</v>
      </c>
      <c r="J20" s="263"/>
      <c r="K20" s="264"/>
      <c r="M20" s="12"/>
      <c r="N20" s="27"/>
      <c r="O20" s="27"/>
      <c r="P20" s="27"/>
      <c r="AG20" s="13"/>
    </row>
    <row r="21" spans="1:33" x14ac:dyDescent="0.4">
      <c r="A21" s="10"/>
      <c r="E21" s="35"/>
      <c r="F21" s="259"/>
      <c r="G21" s="260"/>
      <c r="H21" s="260"/>
      <c r="I21" s="265" t="s">
        <v>40</v>
      </c>
      <c r="J21" s="266"/>
      <c r="K21" s="267"/>
      <c r="L21" s="35"/>
      <c r="M21" s="12"/>
      <c r="N21" s="27"/>
      <c r="O21" s="36"/>
      <c r="P21" s="36"/>
      <c r="Q21" s="36"/>
      <c r="AG21" s="13"/>
    </row>
    <row r="22" spans="1:33" x14ac:dyDescent="0.4">
      <c r="A22" s="10"/>
      <c r="C22" s="15"/>
      <c r="E22" s="35"/>
      <c r="F22" s="12"/>
      <c r="G22" s="27"/>
      <c r="H22" s="37"/>
      <c r="I22" s="37"/>
      <c r="J22" s="37"/>
      <c r="L22" s="35"/>
      <c r="M22" s="12"/>
      <c r="N22" s="27"/>
      <c r="O22" s="37"/>
      <c r="P22" s="37"/>
      <c r="Q22" s="37"/>
      <c r="AG22" s="13"/>
    </row>
    <row r="23" spans="1:33" ht="19.5" x14ac:dyDescent="0.4">
      <c r="A23" s="10"/>
      <c r="B23" s="26" t="s">
        <v>32</v>
      </c>
      <c r="C23" s="18" t="s">
        <v>41</v>
      </c>
      <c r="L23" s="38" t="s">
        <v>42</v>
      </c>
      <c r="N23" s="14" t="s">
        <v>26</v>
      </c>
      <c r="O23" s="18" t="s">
        <v>43</v>
      </c>
      <c r="S23" s="18" t="s">
        <v>44</v>
      </c>
      <c r="AG23" s="13"/>
    </row>
    <row r="24" spans="1:33" x14ac:dyDescent="0.4">
      <c r="A24" s="10"/>
      <c r="D24" s="39"/>
      <c r="M24" s="12"/>
      <c r="N24" s="27"/>
      <c r="O24" s="27"/>
      <c r="P24" s="27"/>
      <c r="AG24" s="13"/>
    </row>
    <row r="25" spans="1:33" x14ac:dyDescent="0.4">
      <c r="A25" s="10"/>
      <c r="B25" s="18" t="s">
        <v>45</v>
      </c>
      <c r="D25" s="39"/>
      <c r="M25" s="12"/>
      <c r="N25" s="27"/>
      <c r="O25" s="27"/>
      <c r="P25" s="27"/>
      <c r="AG25" s="13"/>
    </row>
    <row r="26" spans="1:33" x14ac:dyDescent="0.4">
      <c r="A26" s="10"/>
      <c r="B26" s="18" t="s">
        <v>46</v>
      </c>
      <c r="N26" s="12"/>
      <c r="O26" s="40"/>
      <c r="P26" s="41"/>
      <c r="S26" s="42" t="s">
        <v>47</v>
      </c>
      <c r="U26" s="42" t="s">
        <v>26</v>
      </c>
      <c r="V26" s="247" t="e">
        <f>(K12^2+K10^2)/(2*K12)</f>
        <v>#DIV/0!</v>
      </c>
      <c r="W26" s="248"/>
      <c r="X26" s="248"/>
      <c r="Y26" s="248"/>
      <c r="Z26" s="274"/>
      <c r="AA26" s="274"/>
      <c r="AG26" s="13"/>
    </row>
    <row r="27" spans="1:33" x14ac:dyDescent="0.4">
      <c r="A27" s="10"/>
      <c r="B27" s="18" t="s">
        <v>48</v>
      </c>
      <c r="N27" s="12"/>
      <c r="O27" s="40"/>
      <c r="P27" s="41"/>
      <c r="S27" s="43" t="s">
        <v>49</v>
      </c>
      <c r="U27" s="42" t="s">
        <v>26</v>
      </c>
      <c r="V27" s="275" t="e">
        <f>2*ASIN(K10/V26)*180/PI()</f>
        <v>#DIV/0!</v>
      </c>
      <c r="W27" s="276"/>
      <c r="X27" s="276"/>
      <c r="Y27" s="276"/>
      <c r="Z27" s="277"/>
      <c r="AA27" s="277"/>
      <c r="AG27" s="13"/>
    </row>
    <row r="28" spans="1:33" x14ac:dyDescent="0.4">
      <c r="A28" s="10"/>
      <c r="B28" s="18" t="s">
        <v>50</v>
      </c>
      <c r="N28" s="12"/>
      <c r="O28" s="40"/>
      <c r="P28" s="41"/>
      <c r="S28" s="42" t="s">
        <v>51</v>
      </c>
      <c r="U28" s="42" t="s">
        <v>26</v>
      </c>
      <c r="V28" s="247" t="e">
        <f>V26-K12</f>
        <v>#DIV/0!</v>
      </c>
      <c r="W28" s="248"/>
      <c r="X28" s="248"/>
      <c r="Y28" s="248"/>
      <c r="Z28" s="274"/>
      <c r="AA28" s="274"/>
      <c r="AG28" s="13"/>
    </row>
    <row r="29" spans="1:33" x14ac:dyDescent="0.4">
      <c r="A29" s="10"/>
      <c r="B29" s="44" t="s">
        <v>52</v>
      </c>
      <c r="N29" s="12"/>
      <c r="O29" s="40"/>
      <c r="P29" s="41"/>
      <c r="Q29" s="41"/>
      <c r="AG29" s="13"/>
    </row>
    <row r="30" spans="1:33" x14ac:dyDescent="0.4">
      <c r="A30" s="10"/>
      <c r="G30" s="12"/>
      <c r="H30" s="12"/>
      <c r="I30" s="12"/>
      <c r="N30" s="12"/>
      <c r="O30" s="40"/>
      <c r="P30" s="41"/>
      <c r="Q30" s="41"/>
      <c r="T30" s="45"/>
      <c r="U30" s="45"/>
      <c r="V30" s="45"/>
      <c r="W30" s="45"/>
      <c r="X30" s="45"/>
      <c r="Z30" s="45"/>
      <c r="AA30" s="45"/>
      <c r="AB30" s="45"/>
      <c r="AC30" s="45"/>
      <c r="AD30" s="45"/>
      <c r="AE30" s="45"/>
      <c r="AF30" s="45"/>
      <c r="AG30" s="13"/>
    </row>
    <row r="31" spans="1:33" x14ac:dyDescent="0.4">
      <c r="A31" s="10"/>
      <c r="B31" s="18" t="s">
        <v>53</v>
      </c>
      <c r="G31" s="12"/>
      <c r="H31" s="12"/>
      <c r="I31" s="12"/>
      <c r="J31" s="12"/>
      <c r="K31" s="12"/>
      <c r="L31" s="12"/>
      <c r="M31" s="12"/>
      <c r="N31" s="12"/>
      <c r="O31" s="14" t="s">
        <v>54</v>
      </c>
      <c r="Q31" s="14" t="s">
        <v>26</v>
      </c>
      <c r="R31" s="268">
        <v>0</v>
      </c>
      <c r="S31" s="269"/>
      <c r="T31" s="269"/>
      <c r="U31" s="269"/>
      <c r="V31" s="45"/>
      <c r="W31" s="45"/>
      <c r="X31" s="45"/>
      <c r="Y31" s="45"/>
      <c r="Z31" s="45"/>
      <c r="AA31" s="45"/>
      <c r="AB31" s="45"/>
      <c r="AC31" s="45"/>
      <c r="AD31" s="45"/>
      <c r="AE31" s="45"/>
      <c r="AF31" s="45"/>
      <c r="AG31" s="13"/>
    </row>
    <row r="32" spans="1:33" x14ac:dyDescent="0.4">
      <c r="A32" s="10"/>
      <c r="B32" s="18" t="s">
        <v>55</v>
      </c>
      <c r="G32" s="46"/>
      <c r="H32" s="46"/>
      <c r="I32" s="46"/>
      <c r="J32" s="46"/>
      <c r="K32" s="46"/>
      <c r="L32" s="46"/>
      <c r="M32" s="46"/>
      <c r="N32" s="12"/>
      <c r="O32" s="47" t="s">
        <v>56</v>
      </c>
      <c r="P32" s="41"/>
      <c r="Q32" s="14" t="s">
        <v>26</v>
      </c>
      <c r="R32" s="275" t="e">
        <f>(R31/V26)*180/PI()</f>
        <v>#DIV/0!</v>
      </c>
      <c r="S32" s="276"/>
      <c r="T32" s="276"/>
      <c r="U32" s="276"/>
      <c r="V32" s="277"/>
      <c r="W32" s="277"/>
      <c r="X32" s="27"/>
      <c r="Y32" s="12"/>
      <c r="Z32" s="12"/>
      <c r="AA32" s="27"/>
      <c r="AB32" s="27"/>
      <c r="AC32" s="27"/>
      <c r="AD32" s="27"/>
      <c r="AE32" s="27"/>
      <c r="AF32" s="27"/>
      <c r="AG32" s="13"/>
    </row>
    <row r="33" spans="1:33" x14ac:dyDescent="0.4">
      <c r="A33" s="10"/>
      <c r="G33" s="46"/>
      <c r="H33" s="46"/>
      <c r="I33" s="46"/>
      <c r="J33" s="46"/>
      <c r="K33" s="46"/>
      <c r="L33" s="46"/>
      <c r="M33" s="46"/>
      <c r="N33" s="12"/>
      <c r="O33" s="48"/>
      <c r="P33" s="49"/>
      <c r="R33" s="12"/>
      <c r="S33" s="50"/>
      <c r="T33" s="27"/>
      <c r="U33" s="27"/>
      <c r="V33" s="27"/>
      <c r="W33" s="27"/>
      <c r="X33" s="27"/>
      <c r="Y33" s="12"/>
      <c r="Z33" s="12"/>
      <c r="AA33" s="27"/>
      <c r="AB33" s="27"/>
      <c r="AC33" s="27"/>
      <c r="AD33" s="27"/>
      <c r="AE33" s="27"/>
      <c r="AF33" s="27"/>
      <c r="AG33" s="13"/>
    </row>
    <row r="34" spans="1:33" x14ac:dyDescent="0.4">
      <c r="A34" s="10"/>
      <c r="G34" s="46"/>
      <c r="H34" s="46"/>
      <c r="I34" s="46"/>
      <c r="J34" s="46"/>
      <c r="K34" s="46"/>
      <c r="L34" s="46"/>
      <c r="M34" s="46"/>
      <c r="N34" s="12"/>
      <c r="O34" s="40"/>
      <c r="P34" s="41"/>
      <c r="Q34" s="41"/>
      <c r="R34" s="50"/>
      <c r="S34" s="12"/>
      <c r="T34" s="27"/>
      <c r="U34" s="27"/>
      <c r="V34" s="27"/>
      <c r="W34" s="27"/>
      <c r="X34" s="27"/>
      <c r="Y34" s="12"/>
      <c r="Z34" s="12"/>
      <c r="AA34" s="27"/>
      <c r="AB34" s="27"/>
      <c r="AC34" s="27"/>
      <c r="AD34" s="27"/>
      <c r="AE34" s="27"/>
      <c r="AF34" s="27"/>
      <c r="AG34" s="13"/>
    </row>
    <row r="35" spans="1:33" x14ac:dyDescent="0.4">
      <c r="A35" s="10"/>
      <c r="B35" s="18" t="s">
        <v>57</v>
      </c>
      <c r="N35" s="12"/>
      <c r="O35" s="40"/>
      <c r="P35" s="41"/>
      <c r="R35" s="43" t="s">
        <v>58</v>
      </c>
      <c r="U35" s="42" t="s">
        <v>26</v>
      </c>
      <c r="V35" s="275" t="e">
        <f>V27-R32</f>
        <v>#DIV/0!</v>
      </c>
      <c r="W35" s="276"/>
      <c r="X35" s="276"/>
      <c r="Y35" s="276"/>
      <c r="Z35" s="277"/>
      <c r="AA35" s="277"/>
      <c r="AB35" s="27"/>
      <c r="AC35" s="27"/>
      <c r="AD35" s="27"/>
      <c r="AE35" s="27"/>
      <c r="AF35" s="27"/>
      <c r="AG35" s="13"/>
    </row>
    <row r="36" spans="1:33" x14ac:dyDescent="0.4">
      <c r="A36" s="10"/>
      <c r="G36" s="46"/>
      <c r="H36" s="46"/>
      <c r="I36" s="46"/>
      <c r="J36" s="46"/>
      <c r="K36" s="46"/>
      <c r="L36" s="46"/>
      <c r="M36" s="46"/>
      <c r="N36" s="12"/>
      <c r="O36" s="51"/>
      <c r="P36" s="52"/>
      <c r="Q36" s="52"/>
      <c r="R36" s="49"/>
      <c r="S36" s="12"/>
      <c r="T36" s="27"/>
      <c r="U36" s="27"/>
      <c r="V36" s="27"/>
      <c r="W36" s="27"/>
      <c r="X36" s="27"/>
      <c r="Y36" s="12"/>
      <c r="Z36" s="12"/>
      <c r="AA36" s="27"/>
      <c r="AB36" s="27"/>
      <c r="AC36" s="27"/>
      <c r="AD36" s="27"/>
      <c r="AE36" s="27"/>
      <c r="AF36" s="27"/>
      <c r="AG36" s="13"/>
    </row>
    <row r="37" spans="1:33" x14ac:dyDescent="0.4">
      <c r="A37" s="10"/>
      <c r="B37" s="18" t="s">
        <v>59</v>
      </c>
      <c r="G37" s="12"/>
      <c r="H37" s="12"/>
      <c r="I37" s="12"/>
      <c r="J37" s="12"/>
      <c r="K37" s="12"/>
      <c r="L37" s="12"/>
      <c r="M37" s="12"/>
      <c r="N37" s="12"/>
      <c r="O37" s="14" t="s">
        <v>60</v>
      </c>
      <c r="Q37" s="14" t="s">
        <v>26</v>
      </c>
      <c r="R37" s="268">
        <v>546</v>
      </c>
      <c r="S37" s="269"/>
      <c r="T37" s="269"/>
      <c r="U37" s="269"/>
      <c r="V37" s="27"/>
      <c r="W37" s="27"/>
      <c r="X37" s="27"/>
      <c r="Y37" s="12"/>
      <c r="Z37" s="12"/>
      <c r="AA37" s="27"/>
      <c r="AB37" s="27"/>
      <c r="AC37" s="27"/>
      <c r="AD37" s="27"/>
      <c r="AE37" s="27"/>
      <c r="AF37" s="27"/>
      <c r="AG37" s="13"/>
    </row>
    <row r="38" spans="1:33" x14ac:dyDescent="0.4">
      <c r="A38" s="10"/>
      <c r="B38" s="18" t="s">
        <v>61</v>
      </c>
      <c r="G38" s="46"/>
      <c r="H38" s="46"/>
      <c r="I38" s="46"/>
      <c r="J38" s="46"/>
      <c r="K38" s="46"/>
      <c r="L38" s="46"/>
      <c r="M38" s="46"/>
      <c r="N38" s="12"/>
      <c r="O38" s="47" t="s">
        <v>62</v>
      </c>
      <c r="P38" s="41"/>
      <c r="Q38" s="14" t="s">
        <v>26</v>
      </c>
      <c r="R38" s="270">
        <f>'Geometry Input'!X11</f>
        <v>9</v>
      </c>
      <c r="S38" s="271"/>
      <c r="T38" s="271"/>
      <c r="U38" s="271"/>
      <c r="V38" s="53"/>
      <c r="W38" s="53"/>
      <c r="X38" s="27"/>
      <c r="Y38" s="12"/>
      <c r="Z38" s="12"/>
      <c r="AA38" s="27"/>
      <c r="AB38" s="27"/>
      <c r="AC38" s="27"/>
      <c r="AD38" s="27"/>
      <c r="AE38" s="27"/>
      <c r="AF38" s="27"/>
      <c r="AG38" s="13"/>
    </row>
    <row r="39" spans="1:33" x14ac:dyDescent="0.4">
      <c r="A39" s="10"/>
      <c r="G39" s="46"/>
      <c r="H39" s="46"/>
      <c r="I39" s="46"/>
      <c r="J39" s="46"/>
      <c r="K39" s="46"/>
      <c r="L39" s="46"/>
      <c r="M39" s="46"/>
      <c r="N39" s="12"/>
      <c r="O39" s="54"/>
      <c r="P39" s="55"/>
      <c r="Q39" s="55"/>
      <c r="R39" s="49"/>
      <c r="S39" s="12"/>
      <c r="T39" s="27"/>
      <c r="U39" s="27"/>
      <c r="V39" s="27"/>
      <c r="W39" s="27"/>
      <c r="X39" s="27"/>
      <c r="Y39" s="12"/>
      <c r="Z39" s="12"/>
      <c r="AA39" s="27"/>
      <c r="AB39" s="27"/>
      <c r="AC39" s="27"/>
      <c r="AD39" s="27"/>
      <c r="AE39" s="27"/>
      <c r="AF39" s="27"/>
      <c r="AG39" s="13"/>
    </row>
    <row r="40" spans="1:33" x14ac:dyDescent="0.4">
      <c r="A40" s="10"/>
      <c r="B40" s="18" t="s">
        <v>63</v>
      </c>
      <c r="G40" s="12"/>
      <c r="H40" s="12"/>
      <c r="I40" s="12"/>
      <c r="J40" s="12"/>
      <c r="K40" s="12"/>
      <c r="L40" s="12"/>
      <c r="M40" s="12"/>
      <c r="N40" s="12"/>
      <c r="O40" s="14" t="s">
        <v>64</v>
      </c>
      <c r="Q40" s="14" t="s">
        <v>26</v>
      </c>
      <c r="R40" s="272">
        <f>SQRT((R37*TAN(R38*PI()/180))^2+R37^2)/2</f>
        <v>276.40297934012477</v>
      </c>
      <c r="S40" s="273"/>
      <c r="T40" s="273"/>
      <c r="U40" s="273"/>
      <c r="AG40" s="13"/>
    </row>
    <row r="41" spans="1:33" x14ac:dyDescent="0.4">
      <c r="A41" s="10"/>
      <c r="AG41" s="13"/>
    </row>
    <row r="42" spans="1:33" x14ac:dyDescent="0.4">
      <c r="A42" s="10"/>
      <c r="AG42" s="13"/>
    </row>
    <row r="43" spans="1:33" x14ac:dyDescent="0.4">
      <c r="A43" s="56"/>
      <c r="B43" s="57"/>
      <c r="C43" s="58"/>
      <c r="D43" s="59"/>
      <c r="E43" s="59"/>
      <c r="F43" s="59"/>
      <c r="G43" s="59"/>
      <c r="H43" s="59"/>
      <c r="I43" s="60"/>
      <c r="J43" s="59"/>
      <c r="K43" s="59"/>
      <c r="L43" s="59"/>
      <c r="M43" s="59"/>
      <c r="N43" s="59"/>
      <c r="O43" s="59"/>
      <c r="P43" s="59"/>
      <c r="Q43" s="59"/>
      <c r="R43" s="57"/>
      <c r="S43" s="57"/>
      <c r="T43" s="57"/>
      <c r="U43" s="57"/>
      <c r="V43" s="57"/>
      <c r="W43" s="60"/>
      <c r="X43" s="60"/>
      <c r="Y43" s="60"/>
      <c r="Z43" s="60"/>
      <c r="AA43" s="60"/>
      <c r="AB43" s="60"/>
      <c r="AC43" s="60"/>
      <c r="AD43" s="60"/>
      <c r="AE43" s="60"/>
      <c r="AF43" s="60"/>
      <c r="AG43" s="61"/>
    </row>
  </sheetData>
  <mergeCells count="40">
    <mergeCell ref="R37:U37"/>
    <mergeCell ref="R38:U38"/>
    <mergeCell ref="R40:U40"/>
    <mergeCell ref="V26:AA26"/>
    <mergeCell ref="V27:AA27"/>
    <mergeCell ref="V28:AA28"/>
    <mergeCell ref="R31:U31"/>
    <mergeCell ref="R32:W32"/>
    <mergeCell ref="V35:AA35"/>
    <mergeCell ref="W18:AD18"/>
    <mergeCell ref="F20:G21"/>
    <mergeCell ref="H20:H21"/>
    <mergeCell ref="I20:K20"/>
    <mergeCell ref="I21:K21"/>
    <mergeCell ref="AD4:AG4"/>
    <mergeCell ref="K10:N10"/>
    <mergeCell ref="K12:N12"/>
    <mergeCell ref="K8:N8"/>
    <mergeCell ref="Z8:AC8"/>
    <mergeCell ref="S2:U2"/>
    <mergeCell ref="W2:Y2"/>
    <mergeCell ref="Z2:AC2"/>
    <mergeCell ref="S4:Y4"/>
    <mergeCell ref="Z4:AC4"/>
    <mergeCell ref="W1:Y1"/>
    <mergeCell ref="Z1:AG1"/>
    <mergeCell ref="B4:E4"/>
    <mergeCell ref="G4:R4"/>
    <mergeCell ref="B1:E1"/>
    <mergeCell ref="G1:R1"/>
    <mergeCell ref="S1:U1"/>
    <mergeCell ref="AD2:AG2"/>
    <mergeCell ref="B3:E3"/>
    <mergeCell ref="G3:R3"/>
    <mergeCell ref="S3:U3"/>
    <mergeCell ref="W3:Y3"/>
    <mergeCell ref="Z3:AC3"/>
    <mergeCell ref="AD3:AG3"/>
    <mergeCell ref="B2:E2"/>
    <mergeCell ref="G2:R2"/>
  </mergeCells>
  <printOptions horizontalCentered="1"/>
  <pageMargins left="0.70866141732283472" right="0.70866141732283472" top="0.74803149606299213" bottom="0.74803149606299213" header="0.31496062992125984" footer="0.31496062992125984"/>
  <pageSetup paperSize="9" scale="99" fitToHeight="0" orientation="portrait" useFirstPageNumber="1" r:id="rId1"/>
  <headerFooter>
    <oddHeader>&amp;L&amp;"Tahoma,Regular"&amp;8&amp;K03+000User: Srinivasa Rao Masanam</oddHeader>
    <oddFooter>&amp;C&amp;"Aparajita,Regular"&amp;11&amp;P of &amp;N&amp;R&amp;"Tahoma,Regular"&amp;8&amp;K03+000Licensed to: VSquare Consulting Engineers</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eometryInput"/>
  <dimension ref="A1:CH118"/>
  <sheetViews>
    <sheetView showGridLines="0" tabSelected="1" topLeftCell="A4" zoomScaleNormal="100" workbookViewId="0">
      <selection activeCell="BP52" sqref="BP52:BT52"/>
    </sheetView>
  </sheetViews>
  <sheetFormatPr defaultColWidth="3.1640625" defaultRowHeight="12" customHeight="1" x14ac:dyDescent="0.15"/>
  <cols>
    <col min="1" max="1" width="2" style="62" customWidth="1"/>
    <col min="2" max="9" width="3.1640625" style="62"/>
    <col min="10" max="10" width="3.6640625" style="62" bestFit="1" customWidth="1"/>
    <col min="11" max="20" width="3.1640625" style="62"/>
    <col min="21" max="21" width="3.1640625" style="62" customWidth="1"/>
    <col min="22" max="23" width="3.1640625" style="62"/>
    <col min="24" max="24" width="3.1640625" style="62" customWidth="1"/>
    <col min="25" max="25" width="3.1640625" style="62"/>
    <col min="26" max="26" width="3.6640625" style="62" bestFit="1" customWidth="1"/>
    <col min="27" max="53" width="3.1640625" style="62"/>
    <col min="54" max="63" width="2.83203125" style="62" customWidth="1"/>
    <col min="64" max="16384" width="3.1640625" style="62"/>
  </cols>
  <sheetData>
    <row r="1" spans="1:59" ht="15" customHeight="1" x14ac:dyDescent="0.15">
      <c r="A1" s="64"/>
      <c r="B1" s="217" t="s">
        <v>0</v>
      </c>
      <c r="C1" s="217"/>
      <c r="D1" s="217"/>
      <c r="E1" s="217"/>
      <c r="F1" s="63" t="s">
        <v>1</v>
      </c>
      <c r="G1" s="371"/>
      <c r="H1" s="371"/>
      <c r="I1" s="371"/>
      <c r="J1" s="371"/>
      <c r="K1" s="371"/>
      <c r="L1" s="371"/>
      <c r="M1" s="371"/>
      <c r="N1" s="371"/>
      <c r="O1" s="371"/>
      <c r="P1" s="371"/>
      <c r="Q1" s="371"/>
      <c r="R1" s="371"/>
      <c r="S1" s="371"/>
      <c r="T1" s="371"/>
      <c r="U1" s="371"/>
      <c r="V1" s="371"/>
      <c r="W1" s="371"/>
      <c r="X1" s="372"/>
      <c r="Y1" s="231" t="s">
        <v>3</v>
      </c>
      <c r="Z1" s="217"/>
      <c r="AA1" s="217"/>
      <c r="AB1" s="63" t="s">
        <v>1</v>
      </c>
      <c r="AC1" s="361" t="s">
        <v>4</v>
      </c>
      <c r="AD1" s="361"/>
      <c r="AE1" s="362"/>
      <c r="AF1" s="229" t="s">
        <v>5</v>
      </c>
      <c r="AG1" s="229"/>
      <c r="AH1" s="229"/>
      <c r="AI1" s="229"/>
      <c r="AJ1" s="229"/>
      <c r="AK1" s="229"/>
      <c r="AL1" s="229"/>
      <c r="AM1" s="229"/>
    </row>
    <row r="2" spans="1:59" ht="15" customHeight="1" x14ac:dyDescent="0.15">
      <c r="A2" s="64"/>
      <c r="B2" s="217" t="s">
        <v>6</v>
      </c>
      <c r="C2" s="217"/>
      <c r="D2" s="217"/>
      <c r="E2" s="217"/>
      <c r="F2" s="63" t="s">
        <v>1</v>
      </c>
      <c r="G2" s="376" t="s">
        <v>136</v>
      </c>
      <c r="H2" s="371"/>
      <c r="I2" s="371"/>
      <c r="J2" s="371"/>
      <c r="K2" s="371"/>
      <c r="L2" s="371"/>
      <c r="M2" s="371"/>
      <c r="N2" s="371"/>
      <c r="O2" s="371"/>
      <c r="P2" s="371"/>
      <c r="Q2" s="371"/>
      <c r="R2" s="371"/>
      <c r="S2" s="371"/>
      <c r="T2" s="371"/>
      <c r="U2" s="371"/>
      <c r="V2" s="371"/>
      <c r="W2" s="371"/>
      <c r="X2" s="372"/>
      <c r="Y2" s="231" t="s">
        <v>8</v>
      </c>
      <c r="Z2" s="217"/>
      <c r="AA2" s="217"/>
      <c r="AB2" s="63" t="s">
        <v>1</v>
      </c>
      <c r="AC2" s="361" t="s">
        <v>4</v>
      </c>
      <c r="AD2" s="361"/>
      <c r="AE2" s="362"/>
      <c r="AF2" s="229" t="s">
        <v>10</v>
      </c>
      <c r="AG2" s="229"/>
      <c r="AH2" s="229"/>
      <c r="AI2" s="229"/>
      <c r="AJ2" s="229" t="s">
        <v>11</v>
      </c>
      <c r="AK2" s="229"/>
      <c r="AL2" s="229"/>
      <c r="AM2" s="229"/>
    </row>
    <row r="3" spans="1:59" ht="15" customHeight="1" x14ac:dyDescent="0.15">
      <c r="A3" s="64"/>
      <c r="B3" s="217" t="s">
        <v>12</v>
      </c>
      <c r="C3" s="217"/>
      <c r="D3" s="217"/>
      <c r="E3" s="217"/>
      <c r="F3" s="63" t="s">
        <v>1</v>
      </c>
      <c r="G3" s="371"/>
      <c r="H3" s="371"/>
      <c r="I3" s="371"/>
      <c r="J3" s="371"/>
      <c r="K3" s="371"/>
      <c r="L3" s="371"/>
      <c r="M3" s="371"/>
      <c r="N3" s="371"/>
      <c r="O3" s="371"/>
      <c r="P3" s="371"/>
      <c r="Q3" s="371"/>
      <c r="R3" s="371"/>
      <c r="S3" s="371"/>
      <c r="T3" s="371"/>
      <c r="U3" s="371"/>
      <c r="V3" s="371"/>
      <c r="W3" s="371"/>
      <c r="X3" s="372"/>
      <c r="Y3" s="231" t="s">
        <v>14</v>
      </c>
      <c r="Z3" s="217"/>
      <c r="AA3" s="217"/>
      <c r="AB3" s="63" t="s">
        <v>1</v>
      </c>
      <c r="AC3" s="361" t="s">
        <v>4</v>
      </c>
      <c r="AD3" s="361"/>
      <c r="AE3" s="362"/>
      <c r="AF3" s="363" t="s">
        <v>16</v>
      </c>
      <c r="AG3" s="363"/>
      <c r="AH3" s="363"/>
      <c r="AI3" s="363"/>
      <c r="AJ3" s="363" t="s">
        <v>16</v>
      </c>
      <c r="AK3" s="363"/>
      <c r="AL3" s="363"/>
      <c r="AM3" s="363"/>
    </row>
    <row r="4" spans="1:59" ht="15" customHeight="1" x14ac:dyDescent="0.15">
      <c r="A4" s="64"/>
      <c r="B4" s="217" t="s">
        <v>17</v>
      </c>
      <c r="C4" s="217"/>
      <c r="D4" s="217"/>
      <c r="E4" s="217"/>
      <c r="F4" s="63" t="s">
        <v>1</v>
      </c>
      <c r="G4" s="373" t="s">
        <v>135</v>
      </c>
      <c r="H4" s="373"/>
      <c r="I4" s="373"/>
      <c r="J4" s="373"/>
      <c r="K4" s="373"/>
      <c r="L4" s="373"/>
      <c r="M4" s="373"/>
      <c r="N4" s="373"/>
      <c r="O4" s="373"/>
      <c r="P4" s="373"/>
      <c r="Q4" s="373"/>
      <c r="R4" s="373"/>
      <c r="S4" s="373"/>
      <c r="T4" s="373"/>
      <c r="U4" s="373"/>
      <c r="V4" s="373"/>
      <c r="W4" s="373"/>
      <c r="X4" s="374"/>
      <c r="Y4" s="375" t="str">
        <f>'Version History'!TemplateDocVersion</f>
        <v>Thickener Generator v1.8</v>
      </c>
      <c r="Z4" s="221"/>
      <c r="AA4" s="221"/>
      <c r="AB4" s="221"/>
      <c r="AC4" s="221"/>
      <c r="AD4" s="221"/>
      <c r="AE4" s="222"/>
      <c r="AF4" s="377">
        <v>43127</v>
      </c>
      <c r="AG4" s="377"/>
      <c r="AH4" s="377"/>
      <c r="AI4" s="377"/>
      <c r="AJ4" s="223">
        <f ca="1">TODAY()</f>
        <v>43672</v>
      </c>
      <c r="AK4" s="223"/>
      <c r="AL4" s="223"/>
      <c r="AM4" s="223"/>
    </row>
    <row r="5" spans="1:59" ht="12" customHeight="1" x14ac:dyDescent="0.15">
      <c r="A5" s="74"/>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6"/>
    </row>
    <row r="6" spans="1:59" ht="12" customHeight="1" x14ac:dyDescent="0.15">
      <c r="A6" s="66"/>
      <c r="AM6" s="67"/>
      <c r="AR6" s="78" t="s">
        <v>66</v>
      </c>
      <c r="AS6" s="78"/>
    </row>
    <row r="7" spans="1:59" ht="12" customHeight="1" x14ac:dyDescent="0.15">
      <c r="A7" s="66"/>
      <c r="B7" s="79" t="s">
        <v>91</v>
      </c>
      <c r="AM7" s="67"/>
      <c r="AR7" s="78" t="s">
        <v>67</v>
      </c>
      <c r="AS7" s="78"/>
      <c r="BB7" s="65"/>
    </row>
    <row r="8" spans="1:59" ht="12" customHeight="1" x14ac:dyDescent="0.15">
      <c r="A8" s="66"/>
      <c r="B8" s="83" t="s">
        <v>25</v>
      </c>
      <c r="C8" s="84" t="s">
        <v>1</v>
      </c>
      <c r="D8" s="370">
        <v>0</v>
      </c>
      <c r="E8" s="379"/>
      <c r="F8" s="379"/>
      <c r="G8" s="379"/>
      <c r="H8" s="380"/>
      <c r="I8" s="85" t="s">
        <v>87</v>
      </c>
      <c r="J8" s="84" t="s">
        <v>1</v>
      </c>
      <c r="K8" s="370">
        <v>0</v>
      </c>
      <c r="L8" s="286"/>
      <c r="M8" s="286"/>
      <c r="N8" s="286"/>
      <c r="O8" s="286"/>
      <c r="P8" s="85" t="s">
        <v>88</v>
      </c>
      <c r="Q8" s="84" t="s">
        <v>1</v>
      </c>
      <c r="R8" s="370">
        <v>0</v>
      </c>
      <c r="S8" s="379"/>
      <c r="T8" s="379"/>
      <c r="U8" s="379"/>
      <c r="V8" s="380"/>
      <c r="AM8" s="67"/>
      <c r="AR8" s="78" t="s">
        <v>68</v>
      </c>
      <c r="AS8" s="78"/>
    </row>
    <row r="9" spans="1:59" ht="12" customHeight="1" x14ac:dyDescent="0.15">
      <c r="A9" s="66"/>
      <c r="AM9" s="67"/>
      <c r="AR9" s="78" t="s">
        <v>28</v>
      </c>
      <c r="AS9" s="78" t="s">
        <v>89</v>
      </c>
    </row>
    <row r="10" spans="1:59" ht="12" customHeight="1" x14ac:dyDescent="0.15">
      <c r="A10" s="66"/>
      <c r="B10" s="77" t="s">
        <v>92</v>
      </c>
      <c r="AD10" s="77" t="s">
        <v>122</v>
      </c>
      <c r="AM10" s="67"/>
      <c r="AR10" s="78" t="s">
        <v>69</v>
      </c>
      <c r="AS10" s="78"/>
    </row>
    <row r="11" spans="1:59" ht="12" customHeight="1" x14ac:dyDescent="0.15">
      <c r="A11" s="66"/>
      <c r="B11" s="123" t="s">
        <v>93</v>
      </c>
      <c r="C11" s="87"/>
      <c r="D11" s="87"/>
      <c r="E11" s="87"/>
      <c r="F11" s="87"/>
      <c r="G11" s="87"/>
      <c r="H11" s="87"/>
      <c r="I11" s="87"/>
      <c r="J11" s="87"/>
      <c r="K11" s="87"/>
      <c r="L11" s="87"/>
      <c r="M11" s="87"/>
      <c r="N11" s="87"/>
      <c r="O11" s="87"/>
      <c r="P11" s="87"/>
      <c r="Q11" s="87"/>
      <c r="R11" s="87"/>
      <c r="S11" s="87"/>
      <c r="T11" s="87"/>
      <c r="U11" s="87"/>
      <c r="V11" s="87"/>
      <c r="W11" s="88" t="s">
        <v>1</v>
      </c>
      <c r="X11" s="364">
        <v>9</v>
      </c>
      <c r="Y11" s="365"/>
      <c r="Z11" s="365"/>
      <c r="AA11" s="365"/>
      <c r="AB11" s="366"/>
      <c r="AC11" s="79"/>
      <c r="AD11" s="90"/>
      <c r="AE11" s="91"/>
      <c r="AF11" s="91"/>
      <c r="AG11" s="91"/>
      <c r="AH11" s="91"/>
      <c r="AI11" s="91"/>
      <c r="AJ11" s="91"/>
      <c r="AK11" s="91"/>
      <c r="AL11" s="92"/>
      <c r="AM11" s="67"/>
      <c r="AR11" s="78" t="s">
        <v>70</v>
      </c>
      <c r="AS11" s="78"/>
    </row>
    <row r="12" spans="1:59" ht="12" customHeight="1" x14ac:dyDescent="0.15">
      <c r="A12" s="66"/>
      <c r="B12" s="123" t="s">
        <v>94</v>
      </c>
      <c r="C12" s="87"/>
      <c r="D12" s="87"/>
      <c r="E12" s="87"/>
      <c r="F12" s="87"/>
      <c r="G12" s="87"/>
      <c r="H12" s="87"/>
      <c r="I12" s="87"/>
      <c r="J12" s="87"/>
      <c r="K12" s="87"/>
      <c r="L12" s="87"/>
      <c r="M12" s="87"/>
      <c r="N12" s="87"/>
      <c r="O12" s="87"/>
      <c r="P12" s="87"/>
      <c r="Q12" s="87"/>
      <c r="R12" s="87"/>
      <c r="S12" s="87"/>
      <c r="T12" s="87"/>
      <c r="U12" s="87"/>
      <c r="V12" s="87"/>
      <c r="W12" s="88" t="s">
        <v>1</v>
      </c>
      <c r="X12" s="364">
        <v>45</v>
      </c>
      <c r="Y12" s="365"/>
      <c r="Z12" s="365"/>
      <c r="AA12" s="365"/>
      <c r="AB12" s="366"/>
      <c r="AC12" s="79"/>
      <c r="AD12" s="93"/>
      <c r="AL12" s="94"/>
      <c r="AM12" s="67"/>
      <c r="AR12" s="78" t="s">
        <v>71</v>
      </c>
      <c r="AS12" s="78"/>
    </row>
    <row r="13" spans="1:59" ht="12" customHeight="1" x14ac:dyDescent="0.15">
      <c r="A13" s="66"/>
      <c r="B13" s="123" t="s">
        <v>95</v>
      </c>
      <c r="C13" s="87"/>
      <c r="D13" s="87"/>
      <c r="E13" s="87"/>
      <c r="F13" s="87"/>
      <c r="G13" s="87"/>
      <c r="H13" s="87"/>
      <c r="I13" s="87"/>
      <c r="J13" s="87"/>
      <c r="K13" s="87"/>
      <c r="L13" s="87"/>
      <c r="M13" s="87"/>
      <c r="N13" s="87"/>
      <c r="O13" s="87"/>
      <c r="P13" s="87"/>
      <c r="Q13" s="87"/>
      <c r="R13" s="87"/>
      <c r="S13" s="87"/>
      <c r="T13" s="87"/>
      <c r="U13" s="87"/>
      <c r="V13" s="87"/>
      <c r="W13" s="88" t="s">
        <v>1</v>
      </c>
      <c r="X13" s="364">
        <v>7.5</v>
      </c>
      <c r="Y13" s="365"/>
      <c r="Z13" s="365"/>
      <c r="AA13" s="365"/>
      <c r="AB13" s="366"/>
      <c r="AC13" s="79"/>
      <c r="AD13" s="93"/>
      <c r="AL13" s="94"/>
      <c r="AM13" s="67"/>
      <c r="AR13" s="78" t="s">
        <v>72</v>
      </c>
      <c r="AS13" s="78"/>
    </row>
    <row r="14" spans="1:59" ht="12" customHeight="1" x14ac:dyDescent="0.15">
      <c r="A14" s="66"/>
      <c r="B14" s="89"/>
      <c r="AD14" s="93"/>
      <c r="AL14" s="94"/>
      <c r="AM14" s="67"/>
      <c r="AR14" s="78" t="s">
        <v>73</v>
      </c>
      <c r="AS14" s="78"/>
    </row>
    <row r="15" spans="1:59" ht="12" customHeight="1" x14ac:dyDescent="0.15">
      <c r="A15" s="66"/>
      <c r="B15" s="123" t="s">
        <v>96</v>
      </c>
      <c r="C15" s="87"/>
      <c r="D15" s="87"/>
      <c r="E15" s="87"/>
      <c r="F15" s="87"/>
      <c r="G15" s="87"/>
      <c r="H15" s="87"/>
      <c r="I15" s="87"/>
      <c r="J15" s="87"/>
      <c r="K15" s="87"/>
      <c r="L15" s="87"/>
      <c r="M15" s="87"/>
      <c r="N15" s="87"/>
      <c r="O15" s="87"/>
      <c r="P15" s="87"/>
      <c r="Q15" s="87"/>
      <c r="R15" s="87"/>
      <c r="S15" s="87"/>
      <c r="T15" s="87"/>
      <c r="U15" s="87"/>
      <c r="V15" s="87"/>
      <c r="W15" s="88" t="s">
        <v>1</v>
      </c>
      <c r="X15" s="367">
        <v>24</v>
      </c>
      <c r="Y15" s="368"/>
      <c r="Z15" s="368"/>
      <c r="AA15" s="368"/>
      <c r="AB15" s="369"/>
      <c r="AC15" s="79"/>
      <c r="AD15" s="93"/>
      <c r="AL15" s="94"/>
      <c r="AM15" s="67"/>
      <c r="AR15" s="78" t="s">
        <v>74</v>
      </c>
      <c r="AS15" s="78"/>
      <c r="BC15" s="98"/>
      <c r="BD15" s="98"/>
      <c r="BE15" s="98"/>
      <c r="BF15" s="98"/>
      <c r="BG15" s="98"/>
    </row>
    <row r="16" spans="1:59" ht="12" customHeight="1" x14ac:dyDescent="0.15">
      <c r="A16" s="66"/>
      <c r="B16" s="123" t="s">
        <v>97</v>
      </c>
      <c r="C16" s="87"/>
      <c r="D16" s="87"/>
      <c r="E16" s="87"/>
      <c r="F16" s="87"/>
      <c r="G16" s="87"/>
      <c r="H16" s="87"/>
      <c r="I16" s="87"/>
      <c r="J16" s="87"/>
      <c r="K16" s="87"/>
      <c r="L16" s="87"/>
      <c r="M16" s="87"/>
      <c r="N16" s="87"/>
      <c r="O16" s="87"/>
      <c r="P16" s="87"/>
      <c r="Q16" s="87"/>
      <c r="R16" s="87"/>
      <c r="S16" s="87"/>
      <c r="T16" s="87"/>
      <c r="U16" s="87"/>
      <c r="V16" s="87"/>
      <c r="W16" s="88" t="s">
        <v>1</v>
      </c>
      <c r="X16" s="367">
        <v>5</v>
      </c>
      <c r="Y16" s="368"/>
      <c r="Z16" s="368"/>
      <c r="AA16" s="368"/>
      <c r="AB16" s="369"/>
      <c r="AC16" s="79"/>
      <c r="AD16" s="93"/>
      <c r="AL16" s="94"/>
      <c r="AM16" s="67"/>
      <c r="AR16" s="78" t="s">
        <v>75</v>
      </c>
      <c r="AS16" s="78"/>
    </row>
    <row r="17" spans="1:54" ht="12" customHeight="1" x14ac:dyDescent="0.15">
      <c r="A17" s="66"/>
      <c r="B17" s="123" t="s">
        <v>104</v>
      </c>
      <c r="C17" s="87"/>
      <c r="D17" s="87"/>
      <c r="E17" s="87"/>
      <c r="F17" s="87"/>
      <c r="G17" s="87"/>
      <c r="H17" s="87"/>
      <c r="I17" s="87"/>
      <c r="J17" s="87"/>
      <c r="K17" s="87"/>
      <c r="L17" s="87"/>
      <c r="M17" s="87"/>
      <c r="N17" s="87"/>
      <c r="O17" s="87"/>
      <c r="P17" s="87"/>
      <c r="Q17" s="87"/>
      <c r="R17" s="87"/>
      <c r="S17" s="87"/>
      <c r="T17" s="87"/>
      <c r="U17" s="87"/>
      <c r="V17" s="87"/>
      <c r="W17" s="88" t="s">
        <v>1</v>
      </c>
      <c r="X17" s="281">
        <v>1.8</v>
      </c>
      <c r="Y17" s="282"/>
      <c r="Z17" s="282"/>
      <c r="AA17" s="282"/>
      <c r="AB17" s="283"/>
      <c r="AC17" s="79"/>
      <c r="AD17" s="93"/>
      <c r="AL17" s="94"/>
      <c r="AM17" s="67"/>
      <c r="AR17" s="78" t="s">
        <v>76</v>
      </c>
      <c r="AS17" s="78"/>
    </row>
    <row r="18" spans="1:54" ht="12" customHeight="1" x14ac:dyDescent="0.15">
      <c r="A18" s="66"/>
      <c r="B18" s="123" t="s">
        <v>137</v>
      </c>
      <c r="C18" s="87"/>
      <c r="D18" s="87"/>
      <c r="E18" s="87"/>
      <c r="F18" s="87"/>
      <c r="G18" s="87"/>
      <c r="H18" s="87"/>
      <c r="I18" s="87"/>
      <c r="J18" s="87"/>
      <c r="K18" s="87"/>
      <c r="L18" s="87"/>
      <c r="M18" s="87"/>
      <c r="N18" s="87"/>
      <c r="O18" s="87"/>
      <c r="P18" s="87"/>
      <c r="Q18" s="87"/>
      <c r="R18" s="87"/>
      <c r="S18" s="87"/>
      <c r="T18" s="87"/>
      <c r="U18" s="87"/>
      <c r="V18" s="87"/>
      <c r="W18" s="88" t="s">
        <v>1</v>
      </c>
      <c r="X18" s="281">
        <v>1.6</v>
      </c>
      <c r="Y18" s="282"/>
      <c r="Z18" s="282"/>
      <c r="AA18" s="282"/>
      <c r="AB18" s="283"/>
      <c r="AC18" s="79"/>
      <c r="AD18" s="93"/>
      <c r="AL18" s="94"/>
      <c r="AM18" s="67"/>
      <c r="AR18" s="78" t="s">
        <v>77</v>
      </c>
      <c r="AS18" s="78"/>
    </row>
    <row r="19" spans="1:54" ht="12" customHeight="1" x14ac:dyDescent="0.15">
      <c r="A19" s="66"/>
      <c r="B19" s="123" t="s">
        <v>138</v>
      </c>
      <c r="C19" s="87"/>
      <c r="D19" s="87"/>
      <c r="E19" s="87"/>
      <c r="F19" s="87"/>
      <c r="G19" s="87"/>
      <c r="H19" s="87"/>
      <c r="I19" s="87"/>
      <c r="J19" s="87"/>
      <c r="K19" s="87"/>
      <c r="L19" s="87"/>
      <c r="M19" s="87"/>
      <c r="N19" s="87"/>
      <c r="O19" s="87"/>
      <c r="P19" s="87"/>
      <c r="Q19" s="87"/>
      <c r="R19" s="87"/>
      <c r="S19" s="87"/>
      <c r="T19" s="87"/>
      <c r="U19" s="87"/>
      <c r="V19" s="87"/>
      <c r="W19" s="88" t="s">
        <v>1</v>
      </c>
      <c r="X19" s="281">
        <v>11.03</v>
      </c>
      <c r="Y19" s="282"/>
      <c r="Z19" s="282"/>
      <c r="AA19" s="282"/>
      <c r="AB19" s="283"/>
      <c r="AC19" s="79"/>
      <c r="AD19" s="93"/>
      <c r="AL19" s="94"/>
      <c r="AM19" s="67"/>
      <c r="AR19" s="78"/>
      <c r="AS19" s="78"/>
    </row>
    <row r="20" spans="1:54" ht="12" customHeight="1" x14ac:dyDescent="0.15">
      <c r="A20" s="66"/>
      <c r="B20" s="123" t="s">
        <v>108</v>
      </c>
      <c r="C20" s="87"/>
      <c r="D20" s="87"/>
      <c r="E20" s="87"/>
      <c r="F20" s="87"/>
      <c r="G20" s="87"/>
      <c r="H20" s="87"/>
      <c r="I20" s="87"/>
      <c r="J20" s="87"/>
      <c r="K20" s="87"/>
      <c r="L20" s="87"/>
      <c r="M20" s="87"/>
      <c r="N20" s="87"/>
      <c r="O20" s="87"/>
      <c r="P20" s="87"/>
      <c r="Q20" s="87"/>
      <c r="R20" s="87"/>
      <c r="S20" s="87"/>
      <c r="T20" s="87"/>
      <c r="U20" s="87"/>
      <c r="V20" s="87"/>
      <c r="W20" s="88" t="s">
        <v>1</v>
      </c>
      <c r="X20" s="281">
        <v>0</v>
      </c>
      <c r="Y20" s="282"/>
      <c r="Z20" s="282"/>
      <c r="AA20" s="282"/>
      <c r="AB20" s="283"/>
      <c r="AC20" s="79"/>
      <c r="AD20" s="93"/>
      <c r="AL20" s="94"/>
      <c r="AM20" s="67"/>
      <c r="AR20" s="78" t="s">
        <v>78</v>
      </c>
      <c r="AS20" s="78"/>
    </row>
    <row r="21" spans="1:54" ht="12" customHeight="1" x14ac:dyDescent="0.15">
      <c r="A21" s="66"/>
      <c r="B21" s="123" t="s">
        <v>107</v>
      </c>
      <c r="C21" s="87"/>
      <c r="D21" s="87"/>
      <c r="E21" s="87"/>
      <c r="F21" s="87"/>
      <c r="G21" s="87"/>
      <c r="H21" s="87"/>
      <c r="I21" s="87"/>
      <c r="J21" s="87"/>
      <c r="K21" s="87"/>
      <c r="L21" s="87"/>
      <c r="M21" s="87"/>
      <c r="N21" s="87"/>
      <c r="O21" s="87"/>
      <c r="P21" s="87"/>
      <c r="Q21" s="87"/>
      <c r="R21" s="87"/>
      <c r="S21" s="87"/>
      <c r="T21" s="87"/>
      <c r="U21" s="87"/>
      <c r="V21" s="87"/>
      <c r="W21" s="88" t="s">
        <v>1</v>
      </c>
      <c r="X21" s="281">
        <v>2.1</v>
      </c>
      <c r="Y21" s="282"/>
      <c r="Z21" s="282"/>
      <c r="AA21" s="282"/>
      <c r="AB21" s="283"/>
      <c r="AC21" s="79"/>
      <c r="AD21" s="93"/>
      <c r="AL21" s="94"/>
      <c r="AM21" s="67"/>
      <c r="AR21" s="78" t="s">
        <v>79</v>
      </c>
      <c r="AS21" s="78"/>
    </row>
    <row r="22" spans="1:54" ht="12" customHeight="1" x14ac:dyDescent="0.15">
      <c r="A22" s="66"/>
      <c r="B22" s="123" t="s">
        <v>207</v>
      </c>
      <c r="C22" s="87"/>
      <c r="D22" s="87"/>
      <c r="E22" s="87"/>
      <c r="F22" s="87"/>
      <c r="G22" s="87"/>
      <c r="H22" s="87"/>
      <c r="I22" s="87"/>
      <c r="J22" s="87"/>
      <c r="K22" s="87"/>
      <c r="L22" s="87"/>
      <c r="M22" s="87"/>
      <c r="N22" s="87"/>
      <c r="O22" s="87"/>
      <c r="P22" s="87"/>
      <c r="Q22" s="87"/>
      <c r="R22" s="87"/>
      <c r="S22" s="87"/>
      <c r="T22" s="87"/>
      <c r="U22" s="87"/>
      <c r="V22" s="87"/>
      <c r="W22" s="88" t="s">
        <v>1</v>
      </c>
      <c r="X22" s="281">
        <v>2</v>
      </c>
      <c r="Y22" s="282"/>
      <c r="Z22" s="282"/>
      <c r="AA22" s="282"/>
      <c r="AB22" s="283"/>
      <c r="AC22" s="79"/>
      <c r="AD22" s="93"/>
      <c r="AL22" s="94"/>
      <c r="AM22" s="67"/>
      <c r="AR22" s="78"/>
      <c r="AS22" s="78"/>
    </row>
    <row r="23" spans="1:54" ht="12" customHeight="1" x14ac:dyDescent="0.15">
      <c r="A23" s="66"/>
      <c r="B23" s="123" t="s">
        <v>105</v>
      </c>
      <c r="C23" s="87"/>
      <c r="D23" s="87"/>
      <c r="E23" s="87"/>
      <c r="F23" s="87"/>
      <c r="G23" s="87"/>
      <c r="H23" s="87"/>
      <c r="I23" s="87"/>
      <c r="J23" s="87"/>
      <c r="K23" s="87"/>
      <c r="L23" s="87"/>
      <c r="M23" s="87"/>
      <c r="N23" s="87"/>
      <c r="O23" s="87"/>
      <c r="P23" s="87"/>
      <c r="Q23" s="87"/>
      <c r="R23" s="87"/>
      <c r="S23" s="87"/>
      <c r="T23" s="87"/>
      <c r="U23" s="87"/>
      <c r="V23" s="87"/>
      <c r="W23" s="88" t="s">
        <v>1</v>
      </c>
      <c r="X23" s="281">
        <v>0</v>
      </c>
      <c r="Y23" s="282"/>
      <c r="Z23" s="282"/>
      <c r="AA23" s="282"/>
      <c r="AB23" s="283"/>
      <c r="AC23" s="79"/>
      <c r="AD23" s="95"/>
      <c r="AE23" s="96"/>
      <c r="AF23" s="96"/>
      <c r="AG23" s="96"/>
      <c r="AH23" s="96"/>
      <c r="AI23" s="96"/>
      <c r="AJ23" s="96"/>
      <c r="AK23" s="96"/>
      <c r="AL23" s="97"/>
      <c r="AM23" s="67"/>
      <c r="AR23" s="78" t="s">
        <v>80</v>
      </c>
      <c r="AS23" s="78"/>
    </row>
    <row r="24" spans="1:54" ht="12" customHeight="1" x14ac:dyDescent="0.15">
      <c r="A24" s="66"/>
      <c r="B24" s="123" t="s">
        <v>106</v>
      </c>
      <c r="C24" s="87"/>
      <c r="D24" s="87"/>
      <c r="E24" s="87"/>
      <c r="F24" s="87"/>
      <c r="G24" s="87"/>
      <c r="H24" s="87"/>
      <c r="I24" s="87"/>
      <c r="J24" s="87"/>
      <c r="K24" s="87"/>
      <c r="L24" s="87"/>
      <c r="M24" s="87"/>
      <c r="N24" s="87"/>
      <c r="O24" s="87"/>
      <c r="P24" s="87"/>
      <c r="Q24" s="87"/>
      <c r="R24" s="87"/>
      <c r="S24" s="87"/>
      <c r="T24" s="87"/>
      <c r="U24" s="87"/>
      <c r="V24" s="87"/>
      <c r="W24" s="88" t="s">
        <v>1</v>
      </c>
      <c r="X24" s="281">
        <v>2.1</v>
      </c>
      <c r="Y24" s="282"/>
      <c r="Z24" s="282"/>
      <c r="AA24" s="282"/>
      <c r="AB24" s="283"/>
      <c r="AC24" s="79"/>
      <c r="AD24" s="91"/>
      <c r="AE24" s="91"/>
      <c r="AF24" s="91"/>
      <c r="AG24" s="91"/>
      <c r="AH24" s="91"/>
      <c r="AI24" s="91"/>
      <c r="AJ24" s="91"/>
      <c r="AK24" s="91"/>
      <c r="AL24" s="91"/>
      <c r="AM24" s="67"/>
      <c r="AR24" s="78" t="s">
        <v>81</v>
      </c>
      <c r="AS24" s="78"/>
    </row>
    <row r="25" spans="1:54" ht="12" customHeight="1" x14ac:dyDescent="0.15">
      <c r="A25" s="66"/>
      <c r="B25" s="123" t="s">
        <v>103</v>
      </c>
      <c r="C25" s="87"/>
      <c r="D25" s="87"/>
      <c r="E25" s="87"/>
      <c r="F25" s="87"/>
      <c r="G25" s="87"/>
      <c r="H25" s="87"/>
      <c r="I25" s="87"/>
      <c r="J25" s="87"/>
      <c r="K25" s="87"/>
      <c r="L25" s="87"/>
      <c r="M25" s="87"/>
      <c r="N25" s="87"/>
      <c r="O25" s="87"/>
      <c r="P25" s="87"/>
      <c r="Q25" s="87"/>
      <c r="R25" s="87"/>
      <c r="S25" s="87"/>
      <c r="T25" s="87"/>
      <c r="U25" s="87"/>
      <c r="V25" s="87"/>
      <c r="W25" s="88" t="s">
        <v>1</v>
      </c>
      <c r="X25" s="281">
        <v>4.0999999999999996</v>
      </c>
      <c r="Y25" s="282"/>
      <c r="Z25" s="282"/>
      <c r="AA25" s="282"/>
      <c r="AB25" s="283"/>
      <c r="AC25" s="79"/>
      <c r="AD25" s="128"/>
      <c r="AM25" s="67"/>
      <c r="AR25" s="78" t="s">
        <v>82</v>
      </c>
      <c r="AS25" s="78"/>
      <c r="BB25" s="65"/>
    </row>
    <row r="26" spans="1:54" ht="12" customHeight="1" x14ac:dyDescent="0.15">
      <c r="A26" s="66"/>
      <c r="B26" s="123" t="s">
        <v>112</v>
      </c>
      <c r="C26" s="87"/>
      <c r="D26" s="87"/>
      <c r="E26" s="87"/>
      <c r="F26" s="87"/>
      <c r="G26" s="87"/>
      <c r="H26" s="87"/>
      <c r="I26" s="87"/>
      <c r="J26" s="87"/>
      <c r="K26" s="87"/>
      <c r="L26" s="87"/>
      <c r="M26" s="87"/>
      <c r="N26" s="87"/>
      <c r="O26" s="87"/>
      <c r="P26" s="87"/>
      <c r="Q26" s="87"/>
      <c r="R26" s="87"/>
      <c r="S26" s="87"/>
      <c r="T26" s="87"/>
      <c r="U26" s="87"/>
      <c r="V26" s="87"/>
      <c r="W26" s="88" t="s">
        <v>1</v>
      </c>
      <c r="X26" s="355">
        <f>((dUF-dCC)/2)*TAN(RADIANS(Beta))</f>
        <v>1.1499999999999997</v>
      </c>
      <c r="Y26" s="356"/>
      <c r="Z26" s="356"/>
      <c r="AA26" s="356"/>
      <c r="AB26" s="357"/>
      <c r="AM26" s="67"/>
      <c r="AR26" s="78" t="s">
        <v>83</v>
      </c>
      <c r="AS26" s="78"/>
    </row>
    <row r="27" spans="1:54" ht="12" customHeight="1" x14ac:dyDescent="0.15">
      <c r="A27" s="66"/>
      <c r="B27" s="123" t="s">
        <v>113</v>
      </c>
      <c r="C27" s="87"/>
      <c r="D27" s="87"/>
      <c r="E27" s="87"/>
      <c r="F27" s="87"/>
      <c r="G27" s="87"/>
      <c r="H27" s="87"/>
      <c r="I27" s="87"/>
      <c r="J27" s="87"/>
      <c r="K27" s="87"/>
      <c r="L27" s="87"/>
      <c r="M27" s="87"/>
      <c r="N27" s="87"/>
      <c r="O27" s="87"/>
      <c r="P27" s="87"/>
      <c r="Q27" s="87"/>
      <c r="R27" s="87"/>
      <c r="S27" s="87"/>
      <c r="T27" s="87"/>
      <c r="U27" s="87"/>
      <c r="V27" s="87"/>
      <c r="W27" s="88" t="s">
        <v>1</v>
      </c>
      <c r="X27" s="387">
        <v>4.5</v>
      </c>
      <c r="Y27" s="388"/>
      <c r="Z27" s="388"/>
      <c r="AA27" s="388"/>
      <c r="AB27" s="389"/>
      <c r="AC27" s="79"/>
      <c r="AM27" s="67"/>
      <c r="AR27" s="78" t="s">
        <v>84</v>
      </c>
      <c r="AS27" s="78"/>
    </row>
    <row r="28" spans="1:54" ht="12" customHeight="1" x14ac:dyDescent="0.15">
      <c r="A28" s="66"/>
      <c r="B28" s="123" t="s">
        <v>114</v>
      </c>
      <c r="C28" s="87"/>
      <c r="D28" s="87"/>
      <c r="E28" s="87"/>
      <c r="F28" s="87"/>
      <c r="G28" s="87"/>
      <c r="H28" s="87"/>
      <c r="I28" s="87"/>
      <c r="J28" s="87"/>
      <c r="K28" s="87"/>
      <c r="L28" s="87"/>
      <c r="M28" s="87"/>
      <c r="N28" s="87"/>
      <c r="O28" s="87"/>
      <c r="P28" s="87"/>
      <c r="Q28" s="87"/>
      <c r="R28" s="87"/>
      <c r="S28" s="87"/>
      <c r="T28" s="87"/>
      <c r="U28" s="87"/>
      <c r="V28" s="87"/>
      <c r="W28" s="88" t="s">
        <v>1</v>
      </c>
      <c r="X28" s="355">
        <f>(X27-X25)/2</f>
        <v>0.20000000000000018</v>
      </c>
      <c r="Y28" s="356"/>
      <c r="Z28" s="356"/>
      <c r="AA28" s="356"/>
      <c r="AB28" s="357"/>
      <c r="AM28" s="67"/>
      <c r="AR28" s="78" t="s">
        <v>85</v>
      </c>
      <c r="AS28" s="78"/>
    </row>
    <row r="29" spans="1:54" ht="12" customHeight="1" x14ac:dyDescent="0.15">
      <c r="A29" s="66"/>
      <c r="B29" s="123" t="s">
        <v>115</v>
      </c>
      <c r="C29" s="87"/>
      <c r="D29" s="87"/>
      <c r="E29" s="87"/>
      <c r="F29" s="87"/>
      <c r="G29" s="87"/>
      <c r="H29" s="87"/>
      <c r="I29" s="87"/>
      <c r="J29" s="87"/>
      <c r="K29" s="87"/>
      <c r="L29" s="87"/>
      <c r="M29" s="87"/>
      <c r="N29" s="87"/>
      <c r="O29" s="87"/>
      <c r="P29" s="87"/>
      <c r="Q29" s="87"/>
      <c r="R29" s="87"/>
      <c r="S29" s="87"/>
      <c r="T29" s="87"/>
      <c r="U29" s="87"/>
      <c r="V29" s="87"/>
      <c r="W29" s="88" t="s">
        <v>1</v>
      </c>
      <c r="X29" s="281">
        <v>0.2</v>
      </c>
      <c r="Y29" s="396"/>
      <c r="Z29" s="396"/>
      <c r="AA29" s="396"/>
      <c r="AB29" s="397"/>
      <c r="AC29" s="79"/>
      <c r="AM29" s="67"/>
      <c r="AR29" s="78" t="s">
        <v>86</v>
      </c>
      <c r="AS29" s="78" t="s">
        <v>90</v>
      </c>
    </row>
    <row r="30" spans="1:54" ht="12" customHeight="1" x14ac:dyDescent="0.15">
      <c r="A30" s="66"/>
      <c r="B30" s="123" t="s">
        <v>109</v>
      </c>
      <c r="C30" s="87"/>
      <c r="D30" s="87"/>
      <c r="E30" s="87"/>
      <c r="F30" s="87"/>
      <c r="G30" s="87"/>
      <c r="H30" s="87"/>
      <c r="I30" s="87"/>
      <c r="J30" s="87"/>
      <c r="K30" s="87"/>
      <c r="L30" s="87"/>
      <c r="M30" s="87"/>
      <c r="N30" s="87"/>
      <c r="O30" s="87"/>
      <c r="P30" s="87"/>
      <c r="Q30" s="87"/>
      <c r="R30" s="87"/>
      <c r="S30" s="87"/>
      <c r="T30" s="87"/>
      <c r="U30" s="87"/>
      <c r="V30" s="87"/>
      <c r="W30" s="88" t="s">
        <v>1</v>
      </c>
      <c r="X30" s="281">
        <v>0</v>
      </c>
      <c r="Y30" s="396"/>
      <c r="Z30" s="396"/>
      <c r="AA30" s="396"/>
      <c r="AB30" s="397"/>
      <c r="AM30" s="67"/>
      <c r="AR30" s="78" t="s">
        <v>25</v>
      </c>
      <c r="AS30" s="78"/>
    </row>
    <row r="31" spans="1:54" ht="12" customHeight="1" x14ac:dyDescent="0.15">
      <c r="A31" s="66"/>
      <c r="B31" s="123" t="s">
        <v>110</v>
      </c>
      <c r="C31" s="87"/>
      <c r="D31" s="87"/>
      <c r="E31" s="87"/>
      <c r="F31" s="87"/>
      <c r="G31" s="87"/>
      <c r="H31" s="87"/>
      <c r="I31" s="87"/>
      <c r="J31" s="87"/>
      <c r="K31" s="87"/>
      <c r="L31" s="87"/>
      <c r="M31" s="87"/>
      <c r="N31" s="87"/>
      <c r="O31" s="87"/>
      <c r="P31" s="87"/>
      <c r="Q31" s="87"/>
      <c r="R31" s="87"/>
      <c r="S31" s="87"/>
      <c r="T31" s="87"/>
      <c r="U31" s="87"/>
      <c r="V31" s="87"/>
      <c r="W31" s="88" t="s">
        <v>1</v>
      </c>
      <c r="X31" s="355" t="str">
        <f>IF(hDroop&lt;&gt;0,'Droop Calcs'!V26/1000,"-")</f>
        <v>-</v>
      </c>
      <c r="Y31" s="356"/>
      <c r="Z31" s="356"/>
      <c r="AA31" s="356"/>
      <c r="AB31" s="357"/>
      <c r="AM31" s="67"/>
      <c r="AR31" s="78" t="s">
        <v>87</v>
      </c>
      <c r="AS31" s="78"/>
    </row>
    <row r="32" spans="1:54" ht="12" customHeight="1" x14ac:dyDescent="0.15">
      <c r="A32" s="66"/>
      <c r="B32" s="123" t="s">
        <v>123</v>
      </c>
      <c r="C32" s="87"/>
      <c r="D32" s="87"/>
      <c r="E32" s="87"/>
      <c r="F32" s="87"/>
      <c r="G32" s="87"/>
      <c r="H32" s="87"/>
      <c r="I32" s="87"/>
      <c r="J32" s="87"/>
      <c r="K32" s="87"/>
      <c r="L32" s="87"/>
      <c r="M32" s="87"/>
      <c r="N32" s="87"/>
      <c r="O32" s="87"/>
      <c r="P32" s="87"/>
      <c r="Q32" s="87"/>
      <c r="R32" s="87"/>
      <c r="S32" s="87"/>
      <c r="T32" s="87"/>
      <c r="U32" s="87"/>
      <c r="V32" s="87"/>
      <c r="W32" s="88" t="s">
        <v>1</v>
      </c>
      <c r="X32" s="355">
        <f>'Droop Calcs'!K10/1000</f>
        <v>2.9368393249511606</v>
      </c>
      <c r="Y32" s="356"/>
      <c r="Z32" s="356"/>
      <c r="AA32" s="356"/>
      <c r="AB32" s="357"/>
      <c r="AM32" s="67"/>
      <c r="AR32" s="78"/>
      <c r="AS32" s="78"/>
    </row>
    <row r="33" spans="1:86" ht="12" customHeight="1" x14ac:dyDescent="0.15">
      <c r="A33" s="66"/>
      <c r="B33" s="123" t="s">
        <v>120</v>
      </c>
      <c r="C33" s="87"/>
      <c r="D33" s="87"/>
      <c r="E33" s="87"/>
      <c r="F33" s="87"/>
      <c r="G33" s="87"/>
      <c r="H33" s="87"/>
      <c r="I33" s="87"/>
      <c r="J33" s="87"/>
      <c r="K33" s="87"/>
      <c r="L33" s="87"/>
      <c r="M33" s="87"/>
      <c r="N33" s="87"/>
      <c r="O33" s="87"/>
      <c r="P33" s="87"/>
      <c r="Q33" s="87"/>
      <c r="R33" s="87"/>
      <c r="S33" s="87"/>
      <c r="T33" s="87"/>
      <c r="U33" s="87"/>
      <c r="V33" s="87"/>
      <c r="W33" s="88" t="s">
        <v>1</v>
      </c>
      <c r="X33" s="390" t="str">
        <f>IF(hDroop&lt;&gt;0,'Droop Calcs'!V27,"-")</f>
        <v>-</v>
      </c>
      <c r="Y33" s="391"/>
      <c r="Z33" s="391"/>
      <c r="AA33" s="391"/>
      <c r="AB33" s="392"/>
      <c r="AM33" s="67"/>
      <c r="AR33" s="78" t="s">
        <v>88</v>
      </c>
      <c r="AS33" s="78"/>
    </row>
    <row r="34" spans="1:86" ht="12" customHeight="1" x14ac:dyDescent="0.15">
      <c r="A34" s="66"/>
      <c r="B34" s="123" t="s">
        <v>208</v>
      </c>
      <c r="C34" s="87"/>
      <c r="D34" s="87"/>
      <c r="E34" s="87"/>
      <c r="F34" s="87"/>
      <c r="G34" s="87"/>
      <c r="H34" s="87"/>
      <c r="I34" s="87"/>
      <c r="J34" s="87"/>
      <c r="K34" s="87"/>
      <c r="L34" s="87"/>
      <c r="M34" s="87"/>
      <c r="N34" s="87"/>
      <c r="O34" s="87"/>
      <c r="P34" s="87"/>
      <c r="Q34" s="87"/>
      <c r="R34" s="87"/>
      <c r="S34" s="87"/>
      <c r="T34" s="87"/>
      <c r="U34" s="87"/>
      <c r="V34" s="87"/>
      <c r="W34" s="88" t="s">
        <v>1</v>
      </c>
      <c r="X34" s="358">
        <v>24</v>
      </c>
      <c r="Y34" s="359"/>
      <c r="Z34" s="359"/>
      <c r="AA34" s="359"/>
      <c r="AB34" s="360"/>
      <c r="AM34" s="67"/>
      <c r="AR34" s="78"/>
      <c r="AS34" s="78"/>
    </row>
    <row r="35" spans="1:86" ht="12" customHeight="1" x14ac:dyDescent="0.15">
      <c r="A35" s="66"/>
      <c r="B35" s="89"/>
      <c r="AM35" s="67"/>
      <c r="AR35" s="78"/>
      <c r="AS35" s="78"/>
    </row>
    <row r="36" spans="1:86" ht="12" customHeight="1" x14ac:dyDescent="0.15">
      <c r="A36" s="66"/>
      <c r="B36" s="123" t="s">
        <v>111</v>
      </c>
      <c r="C36" s="87"/>
      <c r="D36" s="87"/>
      <c r="E36" s="87"/>
      <c r="F36" s="87"/>
      <c r="G36" s="87"/>
      <c r="H36" s="87"/>
      <c r="I36" s="87"/>
      <c r="J36" s="87"/>
      <c r="K36" s="87"/>
      <c r="L36" s="87"/>
      <c r="M36" s="87"/>
      <c r="N36" s="87"/>
      <c r="O36" s="87"/>
      <c r="P36" s="87"/>
      <c r="Q36" s="87"/>
      <c r="R36" s="87"/>
      <c r="S36" s="87"/>
      <c r="T36" s="87"/>
      <c r="U36" s="87"/>
      <c r="V36" s="87"/>
      <c r="W36" s="88" t="s">
        <v>1</v>
      </c>
      <c r="X36" s="398">
        <v>45</v>
      </c>
      <c r="Y36" s="399"/>
      <c r="Z36" s="399"/>
      <c r="AA36" s="399"/>
      <c r="AB36" s="400"/>
      <c r="AM36" s="67"/>
    </row>
    <row r="37" spans="1:86" ht="12" customHeight="1" x14ac:dyDescent="0.15">
      <c r="A37" s="66"/>
      <c r="B37" s="123" t="s">
        <v>116</v>
      </c>
      <c r="C37" s="87"/>
      <c r="D37" s="87"/>
      <c r="E37" s="87"/>
      <c r="F37" s="87"/>
      <c r="G37" s="87"/>
      <c r="H37" s="87"/>
      <c r="I37" s="87"/>
      <c r="J37" s="87"/>
      <c r="K37" s="87"/>
      <c r="L37" s="87"/>
      <c r="M37" s="87"/>
      <c r="N37" s="87"/>
      <c r="O37" s="87"/>
      <c r="P37" s="87"/>
      <c r="Q37" s="87"/>
      <c r="R37" s="87"/>
      <c r="S37" s="87"/>
      <c r="T37" s="87"/>
      <c r="U37" s="87"/>
      <c r="V37" s="87"/>
      <c r="W37" s="88" t="s">
        <v>1</v>
      </c>
      <c r="X37" s="281">
        <v>3.5</v>
      </c>
      <c r="Y37" s="282"/>
      <c r="Z37" s="282"/>
      <c r="AA37" s="282"/>
      <c r="AB37" s="283"/>
      <c r="AM37" s="67"/>
    </row>
    <row r="38" spans="1:86" ht="12" customHeight="1" x14ac:dyDescent="0.15">
      <c r="A38" s="66"/>
      <c r="B38" s="123" t="s">
        <v>117</v>
      </c>
      <c r="C38" s="87"/>
      <c r="D38" s="87"/>
      <c r="E38" s="87"/>
      <c r="F38" s="87"/>
      <c r="G38" s="87"/>
      <c r="H38" s="87"/>
      <c r="I38" s="87"/>
      <c r="J38" s="87"/>
      <c r="K38" s="87"/>
      <c r="L38" s="87"/>
      <c r="M38" s="87"/>
      <c r="N38" s="87"/>
      <c r="O38" s="87"/>
      <c r="P38" s="87"/>
      <c r="Q38" s="87"/>
      <c r="R38" s="87"/>
      <c r="S38" s="87"/>
      <c r="T38" s="87"/>
      <c r="U38" s="87"/>
      <c r="V38" s="87"/>
      <c r="W38" s="88" t="s">
        <v>1</v>
      </c>
      <c r="X38" s="281">
        <v>0.15</v>
      </c>
      <c r="Y38" s="282"/>
      <c r="Z38" s="282"/>
      <c r="AA38" s="282"/>
      <c r="AB38" s="283"/>
      <c r="AM38" s="67"/>
      <c r="AO38" s="79" t="s">
        <v>98</v>
      </c>
    </row>
    <row r="39" spans="1:86" ht="12" customHeight="1" x14ac:dyDescent="0.15">
      <c r="A39" s="66"/>
      <c r="B39" s="123" t="s">
        <v>118</v>
      </c>
      <c r="C39" s="87"/>
      <c r="D39" s="87"/>
      <c r="E39" s="87"/>
      <c r="F39" s="87"/>
      <c r="G39" s="87"/>
      <c r="H39" s="87"/>
      <c r="I39" s="87"/>
      <c r="J39" s="87"/>
      <c r="K39" s="87"/>
      <c r="L39" s="87"/>
      <c r="M39" s="87"/>
      <c r="N39" s="87"/>
      <c r="O39" s="87"/>
      <c r="P39" s="87"/>
      <c r="Q39" s="87"/>
      <c r="R39" s="87"/>
      <c r="S39" s="87"/>
      <c r="T39" s="87"/>
      <c r="U39" s="87"/>
      <c r="V39" s="87"/>
      <c r="W39" s="88" t="s">
        <v>1</v>
      </c>
      <c r="X39" s="281">
        <v>0.25</v>
      </c>
      <c r="Y39" s="282"/>
      <c r="Z39" s="282"/>
      <c r="AA39" s="282"/>
      <c r="AB39" s="283"/>
      <c r="AM39" s="67"/>
      <c r="AO39" s="86" t="s">
        <v>99</v>
      </c>
      <c r="AP39" s="79" t="s">
        <v>100</v>
      </c>
    </row>
    <row r="40" spans="1:86" ht="12" customHeight="1" x14ac:dyDescent="0.15">
      <c r="A40" s="66"/>
      <c r="B40" s="123" t="s">
        <v>119</v>
      </c>
      <c r="C40" s="87"/>
      <c r="D40" s="87"/>
      <c r="E40" s="87"/>
      <c r="F40" s="87"/>
      <c r="G40" s="87"/>
      <c r="H40" s="87"/>
      <c r="I40" s="87"/>
      <c r="J40" s="87"/>
      <c r="K40" s="87"/>
      <c r="L40" s="87"/>
      <c r="M40" s="87"/>
      <c r="N40" s="87"/>
      <c r="O40" s="87"/>
      <c r="P40" s="87"/>
      <c r="Q40" s="87"/>
      <c r="R40" s="87"/>
      <c r="S40" s="87"/>
      <c r="T40" s="87"/>
      <c r="U40" s="87"/>
      <c r="V40" s="87"/>
      <c r="W40" s="88" t="s">
        <v>1</v>
      </c>
      <c r="X40" s="281">
        <v>0.4</v>
      </c>
      <c r="Y40" s="282"/>
      <c r="Z40" s="282"/>
      <c r="AA40" s="282"/>
      <c r="AB40" s="283"/>
      <c r="AM40" s="67"/>
      <c r="AO40" s="86" t="s">
        <v>101</v>
      </c>
      <c r="AP40" s="79" t="s">
        <v>102</v>
      </c>
    </row>
    <row r="41" spans="1:86" ht="12" customHeight="1" x14ac:dyDescent="0.15">
      <c r="A41" s="66"/>
      <c r="B41" s="123" t="s">
        <v>121</v>
      </c>
      <c r="C41" s="87"/>
      <c r="D41" s="87"/>
      <c r="E41" s="87"/>
      <c r="F41" s="87"/>
      <c r="G41" s="87"/>
      <c r="H41" s="87"/>
      <c r="I41" s="87"/>
      <c r="J41" s="87"/>
      <c r="K41" s="87"/>
      <c r="L41" s="87"/>
      <c r="M41" s="87"/>
      <c r="N41" s="87"/>
      <c r="O41" s="87"/>
      <c r="P41" s="87"/>
      <c r="Q41" s="87"/>
      <c r="R41" s="87"/>
      <c r="S41" s="87"/>
      <c r="T41" s="87"/>
      <c r="U41" s="87"/>
      <c r="V41" s="87"/>
      <c r="W41" s="88" t="s">
        <v>1</v>
      </c>
      <c r="X41" s="393">
        <f>360/nRB</f>
        <v>15</v>
      </c>
      <c r="Y41" s="394"/>
      <c r="Z41" s="394"/>
      <c r="AA41" s="394"/>
      <c r="AB41" s="395"/>
      <c r="AM41" s="67"/>
      <c r="AO41" s="68"/>
      <c r="AP41" s="80"/>
      <c r="AQ41" s="80"/>
      <c r="AR41" s="80"/>
      <c r="AS41" s="68"/>
      <c r="AT41" s="69"/>
      <c r="AU41" s="81"/>
      <c r="AV41" s="81"/>
      <c r="AW41" s="81"/>
      <c r="AX41" s="81"/>
      <c r="AY41" s="81"/>
      <c r="AZ41" s="81"/>
      <c r="BA41" s="81"/>
      <c r="BB41" s="81"/>
      <c r="BC41" s="81"/>
    </row>
    <row r="42" spans="1:86" ht="12" customHeight="1" x14ac:dyDescent="0.15">
      <c r="A42" s="66"/>
      <c r="AM42" s="67"/>
      <c r="AO42" s="101"/>
      <c r="AP42" s="80"/>
      <c r="AQ42" s="80"/>
      <c r="AS42" s="68"/>
      <c r="AT42" s="69"/>
      <c r="AU42" s="81"/>
      <c r="AV42" s="81"/>
      <c r="AW42" s="81"/>
      <c r="AX42" s="81"/>
      <c r="AY42" s="81"/>
      <c r="AZ42" s="81"/>
      <c r="BA42" s="81"/>
      <c r="BB42" s="81"/>
      <c r="BC42" s="81"/>
      <c r="BN42" s="79"/>
    </row>
    <row r="43" spans="1:86" ht="12" customHeight="1" x14ac:dyDescent="0.15">
      <c r="A43" s="66"/>
      <c r="B43" s="123" t="s">
        <v>124</v>
      </c>
      <c r="C43" s="87"/>
      <c r="D43" s="87"/>
      <c r="E43" s="87"/>
      <c r="F43" s="87"/>
      <c r="G43" s="87"/>
      <c r="H43" s="87"/>
      <c r="I43" s="87"/>
      <c r="J43" s="87"/>
      <c r="K43" s="87"/>
      <c r="L43" s="87"/>
      <c r="M43" s="87"/>
      <c r="N43" s="87"/>
      <c r="O43" s="87"/>
      <c r="P43" s="87"/>
      <c r="Q43" s="87"/>
      <c r="R43" s="87"/>
      <c r="S43" s="87"/>
      <c r="T43" s="87"/>
      <c r="U43" s="87"/>
      <c r="V43" s="87"/>
      <c r="W43" s="88" t="s">
        <v>1</v>
      </c>
      <c r="X43" s="384">
        <v>3</v>
      </c>
      <c r="Y43" s="385"/>
      <c r="Z43" s="385"/>
      <c r="AA43" s="385"/>
      <c r="AB43" s="386"/>
      <c r="AM43" s="67"/>
      <c r="AO43" s="86"/>
      <c r="AP43" s="79"/>
      <c r="AQ43" s="82"/>
      <c r="AS43" s="70"/>
      <c r="AT43" s="70"/>
      <c r="AU43" s="82"/>
      <c r="AV43" s="82"/>
      <c r="AW43" s="82"/>
      <c r="AX43" s="82"/>
      <c r="AY43" s="82"/>
      <c r="AZ43" s="82"/>
      <c r="BA43" s="82"/>
      <c r="BB43" s="82"/>
      <c r="BC43" s="82"/>
      <c r="BN43" s="79"/>
    </row>
    <row r="44" spans="1:86" ht="12" customHeight="1" x14ac:dyDescent="0.15">
      <c r="A44" s="66"/>
      <c r="B44" s="123" t="s">
        <v>125</v>
      </c>
      <c r="C44" s="87"/>
      <c r="D44" s="87"/>
      <c r="E44" s="87"/>
      <c r="F44" s="87"/>
      <c r="G44" s="87"/>
      <c r="H44" s="87"/>
      <c r="I44" s="87"/>
      <c r="J44" s="87"/>
      <c r="K44" s="87"/>
      <c r="L44" s="87"/>
      <c r="M44" s="87"/>
      <c r="N44" s="87"/>
      <c r="O44" s="87"/>
      <c r="P44" s="87"/>
      <c r="Q44" s="87"/>
      <c r="R44" s="87"/>
      <c r="S44" s="87"/>
      <c r="T44" s="87"/>
      <c r="U44" s="87"/>
      <c r="V44" s="87"/>
      <c r="W44" s="88" t="s">
        <v>1</v>
      </c>
      <c r="X44" s="381">
        <v>0.35</v>
      </c>
      <c r="Y44" s="382"/>
      <c r="Z44" s="382"/>
      <c r="AA44" s="382"/>
      <c r="AB44" s="383"/>
      <c r="AM44" s="67"/>
      <c r="AO44" s="86"/>
      <c r="AP44" s="79"/>
      <c r="AQ44" s="82"/>
      <c r="AS44" s="70"/>
      <c r="AT44" s="70"/>
      <c r="AU44" s="82"/>
      <c r="AV44" s="82"/>
      <c r="AW44" s="82"/>
      <c r="AX44" s="82"/>
      <c r="AY44" s="82"/>
      <c r="AZ44" s="82"/>
      <c r="BA44" s="82"/>
      <c r="BB44" s="82"/>
      <c r="BC44" s="82"/>
    </row>
    <row r="45" spans="1:86" ht="12" customHeight="1" x14ac:dyDescent="0.15">
      <c r="A45" s="66"/>
      <c r="AM45" s="67"/>
      <c r="AO45" s="116"/>
      <c r="AP45" s="117"/>
      <c r="AQ45" s="118"/>
      <c r="AR45" s="119"/>
      <c r="AS45" s="119"/>
      <c r="AT45" s="119"/>
      <c r="AU45" s="119"/>
      <c r="AV45" s="119"/>
      <c r="AW45" s="119"/>
      <c r="AX45" s="119"/>
      <c r="AY45" s="119"/>
      <c r="AZ45" s="119"/>
      <c r="BA45" s="119"/>
      <c r="BB45" s="119"/>
      <c r="BC45" s="119"/>
      <c r="BD45" s="119"/>
      <c r="BE45" s="119"/>
      <c r="BF45" s="119"/>
      <c r="BG45" s="119"/>
      <c r="BH45" s="119"/>
      <c r="BI45" s="119"/>
      <c r="BJ45" s="119"/>
      <c r="BK45" s="119"/>
      <c r="BL45" s="119"/>
      <c r="BM45" s="118"/>
      <c r="BN45" s="119"/>
      <c r="BO45" s="119"/>
      <c r="BP45" s="119"/>
      <c r="BQ45" s="119"/>
      <c r="BR45" s="119"/>
      <c r="BS45" s="119"/>
      <c r="BT45" s="119"/>
      <c r="BU45" s="119"/>
      <c r="BV45" s="119"/>
      <c r="BW45" s="119"/>
      <c r="BX45" s="119"/>
      <c r="BY45" s="119"/>
      <c r="BZ45" s="119"/>
      <c r="CA45" s="119"/>
      <c r="CB45" s="119"/>
      <c r="CC45" s="119"/>
      <c r="CD45" s="119"/>
      <c r="CE45" s="119"/>
      <c r="CF45" s="119"/>
      <c r="CG45" s="119"/>
      <c r="CH45" s="119"/>
    </row>
    <row r="46" spans="1:86" ht="12" customHeight="1" x14ac:dyDescent="0.15">
      <c r="A46" s="66"/>
      <c r="B46" s="65" t="s">
        <v>126</v>
      </c>
      <c r="G46" s="378" t="s">
        <v>212</v>
      </c>
      <c r="H46" s="317"/>
      <c r="I46" s="317"/>
      <c r="J46" s="317"/>
      <c r="K46" s="317"/>
      <c r="L46" s="318"/>
      <c r="AM46" s="67"/>
      <c r="AO46" s="114"/>
      <c r="AP46" s="114"/>
      <c r="AQ46" s="119"/>
      <c r="AR46" s="119"/>
      <c r="AS46" s="119"/>
      <c r="AT46" s="119"/>
      <c r="AU46" s="119"/>
      <c r="AV46" s="119"/>
      <c r="AW46" s="119"/>
      <c r="AX46" s="119"/>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row>
    <row r="47" spans="1:86" ht="12" customHeight="1" x14ac:dyDescent="0.15">
      <c r="A47" s="66"/>
      <c r="AM47" s="67"/>
      <c r="AO47" s="116"/>
      <c r="AP47" s="117"/>
      <c r="AQ47" s="118"/>
      <c r="AR47" s="119"/>
      <c r="AS47" s="119"/>
      <c r="AT47" s="122" t="s">
        <v>163</v>
      </c>
      <c r="AU47" s="119"/>
      <c r="AV47" s="119"/>
      <c r="AW47" s="119"/>
      <c r="AX47" s="119"/>
      <c r="AY47" s="119"/>
      <c r="AZ47" s="119"/>
      <c r="BA47" s="119"/>
      <c r="BB47" s="119"/>
      <c r="BC47" s="119"/>
      <c r="BD47" s="119"/>
      <c r="BE47" s="119"/>
      <c r="BF47" s="119"/>
      <c r="BG47" s="119"/>
      <c r="BH47" s="119"/>
      <c r="BI47" s="119"/>
      <c r="BJ47" s="119"/>
      <c r="BK47" s="119"/>
      <c r="BL47" s="119"/>
      <c r="BM47" s="118"/>
      <c r="BN47" s="119"/>
      <c r="BO47" s="119"/>
      <c r="BP47" s="119"/>
      <c r="BQ47" s="119"/>
      <c r="BR47" s="119"/>
      <c r="BS47" s="119"/>
      <c r="BT47" s="119"/>
      <c r="BU47" s="119"/>
      <c r="BV47" s="119"/>
      <c r="BW47" s="119"/>
      <c r="BX47" s="119"/>
      <c r="BY47" s="119"/>
      <c r="BZ47" s="119"/>
      <c r="CA47" s="119"/>
      <c r="CB47" s="119"/>
      <c r="CC47" s="119"/>
      <c r="CD47" s="119"/>
      <c r="CE47" s="119"/>
      <c r="CF47" s="119"/>
      <c r="CG47" s="119"/>
      <c r="CH47" s="119"/>
    </row>
    <row r="48" spans="1:86" ht="12" customHeight="1" x14ac:dyDescent="0.15">
      <c r="A48" s="66"/>
      <c r="B48" s="307" t="s">
        <v>127</v>
      </c>
      <c r="C48" s="308"/>
      <c r="D48" s="309" t="s">
        <v>128</v>
      </c>
      <c r="E48" s="310"/>
      <c r="F48" s="310"/>
      <c r="G48" s="310"/>
      <c r="H48" s="310"/>
      <c r="I48" s="310"/>
      <c r="J48" s="307" t="s">
        <v>129</v>
      </c>
      <c r="K48" s="308"/>
      <c r="L48" s="308"/>
      <c r="M48" s="352" t="s">
        <v>130</v>
      </c>
      <c r="N48" s="353"/>
      <c r="O48" s="353"/>
      <c r="P48" s="353"/>
      <c r="Q48" s="353"/>
      <c r="R48" s="353"/>
      <c r="S48" s="354"/>
      <c r="T48" s="307" t="s">
        <v>131</v>
      </c>
      <c r="U48" s="308"/>
      <c r="V48" s="308"/>
      <c r="W48" s="308"/>
      <c r="X48" s="308"/>
      <c r="Y48" s="310" t="s">
        <v>160</v>
      </c>
      <c r="Z48" s="311"/>
      <c r="AA48" s="311"/>
      <c r="AB48" s="311"/>
      <c r="AC48" s="311"/>
      <c r="AD48" s="307" t="s">
        <v>132</v>
      </c>
      <c r="AE48" s="308"/>
      <c r="AF48" s="308"/>
      <c r="AG48" s="308"/>
      <c r="AH48" s="308"/>
      <c r="AI48" s="401" t="s">
        <v>160</v>
      </c>
      <c r="AJ48" s="286"/>
      <c r="AK48" s="286"/>
      <c r="AL48" s="287"/>
      <c r="AM48" s="127"/>
      <c r="AO48" s="307" t="s">
        <v>159</v>
      </c>
      <c r="AP48" s="308"/>
      <c r="AQ48" s="308"/>
      <c r="AR48" s="308"/>
      <c r="AT48" s="79" t="s">
        <v>164</v>
      </c>
      <c r="AY48" s="119"/>
      <c r="AZ48" s="119"/>
      <c r="BA48" s="119"/>
      <c r="BB48" s="119"/>
      <c r="BC48" s="114" t="s">
        <v>1</v>
      </c>
      <c r="BD48" s="402">
        <v>259</v>
      </c>
      <c r="BE48" s="403"/>
      <c r="BF48" s="403"/>
      <c r="BG48" s="403"/>
      <c r="BH48" s="404"/>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row>
    <row r="49" spans="1:72" ht="12" customHeight="1" x14ac:dyDescent="0.15">
      <c r="A49" s="66"/>
      <c r="B49" s="288">
        <f>IF(AND(D49&lt;&gt;"",J49&lt;&gt;"",M49&lt;&gt;"",T49&lt;&gt;"",Y49&lt;&gt;"",IF(D50="",TRUE,AND(AD49&lt;&gt;"",AI49&lt;&gt;""))),1,"")</f>
        <v>1</v>
      </c>
      <c r="C49" s="289"/>
      <c r="D49" s="298" t="s">
        <v>133</v>
      </c>
      <c r="E49" s="299"/>
      <c r="F49" s="299"/>
      <c r="G49" s="299"/>
      <c r="H49" s="299"/>
      <c r="I49" s="300"/>
      <c r="J49" s="338">
        <v>44</v>
      </c>
      <c r="K49" s="339"/>
      <c r="L49" s="340"/>
      <c r="M49" s="338">
        <v>0</v>
      </c>
      <c r="N49" s="344"/>
      <c r="O49" s="344"/>
      <c r="P49" s="344"/>
      <c r="Q49" s="344"/>
      <c r="R49" s="344"/>
      <c r="S49" s="345"/>
      <c r="T49" s="341" t="s">
        <v>168</v>
      </c>
      <c r="U49" s="342"/>
      <c r="V49" s="342"/>
      <c r="W49" s="342"/>
      <c r="X49" s="343"/>
      <c r="Y49" s="295" t="s">
        <v>161</v>
      </c>
      <c r="Z49" s="296"/>
      <c r="AA49" s="296"/>
      <c r="AB49" s="296"/>
      <c r="AC49" s="296"/>
      <c r="AD49" s="341" t="s">
        <v>211</v>
      </c>
      <c r="AE49" s="342"/>
      <c r="AF49" s="342"/>
      <c r="AG49" s="342"/>
      <c r="AH49" s="343"/>
      <c r="AI49" s="297" t="s">
        <v>161</v>
      </c>
      <c r="AJ49" s="317"/>
      <c r="AK49" s="317"/>
      <c r="AL49" s="318"/>
      <c r="AM49" s="127"/>
      <c r="AO49" s="347">
        <v>1</v>
      </c>
      <c r="AP49" s="348"/>
      <c r="AQ49" s="348"/>
      <c r="AR49" s="348"/>
      <c r="AT49" s="79" t="s">
        <v>165</v>
      </c>
      <c r="BC49" s="114" t="s">
        <v>1</v>
      </c>
      <c r="BD49" s="405">
        <f>(BD48/2)/COS(RADIANS(Alpha))</f>
        <v>131.11423378954638</v>
      </c>
      <c r="BE49" s="406"/>
      <c r="BF49" s="406"/>
      <c r="BG49" s="406"/>
      <c r="BH49" s="407"/>
    </row>
    <row r="50" spans="1:72" ht="12" customHeight="1" x14ac:dyDescent="0.15">
      <c r="A50" s="66"/>
      <c r="B50" s="288">
        <f>IF(AND(D50&lt;&gt;"",J50&lt;&gt;"",M50&lt;&gt;"",T50&lt;&gt;"",Y50&lt;&gt;"",IF(D51="",TRUE,AND(AD50&lt;&gt;"",AI50&lt;&gt;""))),B49+1,"")</f>
        <v>2</v>
      </c>
      <c r="C50" s="289"/>
      <c r="D50" s="298" t="s">
        <v>134</v>
      </c>
      <c r="E50" s="299"/>
      <c r="F50" s="299"/>
      <c r="G50" s="299"/>
      <c r="H50" s="299"/>
      <c r="I50" s="300"/>
      <c r="J50" s="338">
        <v>35.64</v>
      </c>
      <c r="K50" s="339"/>
      <c r="L50" s="340"/>
      <c r="M50" s="338">
        <v>0</v>
      </c>
      <c r="N50" s="344"/>
      <c r="O50" s="344"/>
      <c r="P50" s="344"/>
      <c r="Q50" s="344"/>
      <c r="R50" s="344"/>
      <c r="S50" s="345"/>
      <c r="T50" s="341" t="s">
        <v>211</v>
      </c>
      <c r="U50" s="342"/>
      <c r="V50" s="342"/>
      <c r="W50" s="342"/>
      <c r="X50" s="343"/>
      <c r="Y50" s="295" t="s">
        <v>162</v>
      </c>
      <c r="Z50" s="296"/>
      <c r="AA50" s="296"/>
      <c r="AB50" s="296"/>
      <c r="AC50" s="296"/>
      <c r="AD50" s="341" t="s">
        <v>168</v>
      </c>
      <c r="AE50" s="342"/>
      <c r="AF50" s="342"/>
      <c r="AG50" s="342"/>
      <c r="AH50" s="343"/>
      <c r="AI50" s="297" t="s">
        <v>162</v>
      </c>
      <c r="AJ50" s="317"/>
      <c r="AK50" s="317"/>
      <c r="AL50" s="318"/>
      <c r="AM50" s="127"/>
      <c r="AO50" s="347">
        <v>1</v>
      </c>
      <c r="AP50" s="348"/>
      <c r="AQ50" s="348"/>
      <c r="AR50" s="348"/>
    </row>
    <row r="51" spans="1:72" ht="12" customHeight="1" x14ac:dyDescent="0.15">
      <c r="A51" s="66"/>
      <c r="B51" s="288">
        <f t="shared" ref="B51:B58" si="0">IF(AND(D51&lt;&gt;"",J51&lt;&gt;"",M51&lt;&gt;"",T51&lt;&gt;"",Y51&lt;&gt;"",IF(D52="",TRUE,AND(AD51&lt;&gt;"",AI51&lt;&gt;""))),B50+1,"")</f>
        <v>3</v>
      </c>
      <c r="C51" s="289"/>
      <c r="D51" s="298" t="s">
        <v>169</v>
      </c>
      <c r="E51" s="299"/>
      <c r="F51" s="299"/>
      <c r="G51" s="299"/>
      <c r="H51" s="299"/>
      <c r="I51" s="300"/>
      <c r="J51" s="338">
        <v>27.28</v>
      </c>
      <c r="K51" s="339"/>
      <c r="L51" s="340"/>
      <c r="M51" s="338">
        <v>0</v>
      </c>
      <c r="N51" s="344"/>
      <c r="O51" s="344"/>
      <c r="P51" s="344"/>
      <c r="Q51" s="344"/>
      <c r="R51" s="344"/>
      <c r="S51" s="345"/>
      <c r="T51" s="341" t="s">
        <v>168</v>
      </c>
      <c r="U51" s="342"/>
      <c r="V51" s="342"/>
      <c r="W51" s="342"/>
      <c r="X51" s="343"/>
      <c r="Y51" s="295" t="s">
        <v>161</v>
      </c>
      <c r="Z51" s="296"/>
      <c r="AA51" s="296"/>
      <c r="AB51" s="296"/>
      <c r="AC51" s="296"/>
      <c r="AD51" s="341" t="s">
        <v>211</v>
      </c>
      <c r="AE51" s="342"/>
      <c r="AF51" s="342"/>
      <c r="AG51" s="342"/>
      <c r="AH51" s="343"/>
      <c r="AI51" s="297" t="s">
        <v>162</v>
      </c>
      <c r="AJ51" s="317"/>
      <c r="AK51" s="317"/>
      <c r="AL51" s="318"/>
      <c r="AM51" s="127"/>
      <c r="AO51" s="347">
        <v>1</v>
      </c>
      <c r="AP51" s="348"/>
      <c r="AQ51" s="348"/>
      <c r="AR51" s="348"/>
      <c r="AT51" s="132" t="s">
        <v>229</v>
      </c>
      <c r="AU51" s="130"/>
      <c r="AV51" s="130"/>
      <c r="AW51" s="130"/>
      <c r="AX51" s="130"/>
      <c r="AY51" s="130"/>
      <c r="AZ51" s="130"/>
      <c r="BA51" s="130"/>
      <c r="BB51" s="130"/>
      <c r="BC51" s="130"/>
      <c r="BD51" s="130"/>
      <c r="BE51" s="130"/>
      <c r="BF51" s="130"/>
      <c r="BG51" s="130"/>
      <c r="BH51" s="130"/>
      <c r="BI51" s="130"/>
      <c r="BJ51" s="130"/>
      <c r="BK51" s="130"/>
      <c r="BL51" s="130"/>
      <c r="BM51" s="130"/>
      <c r="BN51" s="130"/>
      <c r="BO51" s="131" t="s">
        <v>1</v>
      </c>
      <c r="BP51" s="364">
        <v>300</v>
      </c>
      <c r="BQ51" s="365"/>
      <c r="BR51" s="365"/>
      <c r="BS51" s="365"/>
      <c r="BT51" s="366"/>
    </row>
    <row r="52" spans="1:72" ht="12" customHeight="1" x14ac:dyDescent="0.15">
      <c r="A52" s="66"/>
      <c r="B52" s="288">
        <f t="shared" si="0"/>
        <v>4</v>
      </c>
      <c r="C52" s="289"/>
      <c r="D52" s="298" t="s">
        <v>213</v>
      </c>
      <c r="E52" s="299"/>
      <c r="F52" s="299"/>
      <c r="G52" s="299"/>
      <c r="H52" s="299"/>
      <c r="I52" s="300"/>
      <c r="J52" s="338">
        <v>18.920000000000002</v>
      </c>
      <c r="K52" s="339"/>
      <c r="L52" s="340"/>
      <c r="M52" s="338">
        <v>0</v>
      </c>
      <c r="N52" s="344"/>
      <c r="O52" s="344"/>
      <c r="P52" s="344"/>
      <c r="Q52" s="344"/>
      <c r="R52" s="344"/>
      <c r="S52" s="345"/>
      <c r="T52" s="341" t="s">
        <v>211</v>
      </c>
      <c r="U52" s="342"/>
      <c r="V52" s="342"/>
      <c r="W52" s="342"/>
      <c r="X52" s="343"/>
      <c r="Y52" s="295" t="s">
        <v>162</v>
      </c>
      <c r="Z52" s="296"/>
      <c r="AA52" s="296"/>
      <c r="AB52" s="296"/>
      <c r="AC52" s="296"/>
      <c r="AD52" s="341" t="s">
        <v>211</v>
      </c>
      <c r="AE52" s="342"/>
      <c r="AF52" s="342"/>
      <c r="AG52" s="342"/>
      <c r="AH52" s="343"/>
      <c r="AI52" s="297" t="s">
        <v>162</v>
      </c>
      <c r="AJ52" s="317"/>
      <c r="AK52" s="317"/>
      <c r="AL52" s="318"/>
      <c r="AM52" s="127"/>
      <c r="AO52" s="347">
        <v>1</v>
      </c>
      <c r="AP52" s="348"/>
      <c r="AQ52" s="348"/>
      <c r="AR52" s="348"/>
      <c r="AT52" s="132" t="s">
        <v>218</v>
      </c>
      <c r="AU52" s="130"/>
      <c r="AV52" s="130"/>
      <c r="AW52" s="130"/>
      <c r="AX52" s="130"/>
      <c r="AY52" s="130"/>
      <c r="AZ52" s="130"/>
      <c r="BA52" s="130"/>
      <c r="BB52" s="130"/>
      <c r="BC52" s="130"/>
      <c r="BD52" s="130"/>
      <c r="BE52" s="130"/>
      <c r="BF52" s="130"/>
      <c r="BG52" s="130"/>
      <c r="BH52" s="130"/>
      <c r="BI52" s="130"/>
      <c r="BJ52" s="130"/>
      <c r="BK52" s="130"/>
      <c r="BL52" s="130"/>
      <c r="BM52" s="130"/>
      <c r="BN52" s="130"/>
      <c r="BO52" s="131" t="s">
        <v>1</v>
      </c>
      <c r="BP52" s="281">
        <v>1.835</v>
      </c>
      <c r="BQ52" s="282"/>
      <c r="BR52" s="282"/>
      <c r="BS52" s="282"/>
      <c r="BT52" s="283"/>
    </row>
    <row r="53" spans="1:72" ht="12" customHeight="1" x14ac:dyDescent="0.15">
      <c r="A53" s="66"/>
      <c r="B53" s="288">
        <f t="shared" si="0"/>
        <v>5</v>
      </c>
      <c r="C53" s="289"/>
      <c r="D53" s="333" t="s">
        <v>214</v>
      </c>
      <c r="E53" s="296"/>
      <c r="F53" s="296"/>
      <c r="G53" s="296"/>
      <c r="H53" s="296"/>
      <c r="I53" s="296"/>
      <c r="J53" s="334">
        <v>10.56</v>
      </c>
      <c r="K53" s="335"/>
      <c r="L53" s="335"/>
      <c r="M53" s="338">
        <v>0</v>
      </c>
      <c r="N53" s="344"/>
      <c r="O53" s="344"/>
      <c r="P53" s="344"/>
      <c r="Q53" s="344"/>
      <c r="R53" s="344"/>
      <c r="S53" s="345"/>
      <c r="T53" s="336" t="s">
        <v>211</v>
      </c>
      <c r="U53" s="337"/>
      <c r="V53" s="337"/>
      <c r="W53" s="337"/>
      <c r="X53" s="337"/>
      <c r="Y53" s="295" t="s">
        <v>162</v>
      </c>
      <c r="Z53" s="296"/>
      <c r="AA53" s="296"/>
      <c r="AB53" s="296"/>
      <c r="AC53" s="296"/>
      <c r="AD53" s="327"/>
      <c r="AE53" s="328"/>
      <c r="AF53" s="328"/>
      <c r="AG53" s="328"/>
      <c r="AH53" s="328"/>
      <c r="AI53" s="349"/>
      <c r="AJ53" s="350"/>
      <c r="AK53" s="350"/>
      <c r="AL53" s="351"/>
      <c r="AM53" s="127"/>
      <c r="AO53" s="229">
        <v>1</v>
      </c>
      <c r="AP53" s="346"/>
      <c r="AQ53" s="346"/>
      <c r="AR53" s="346"/>
      <c r="AT53" s="134" t="s">
        <v>219</v>
      </c>
      <c r="AU53" s="133"/>
      <c r="AV53" s="133"/>
      <c r="AW53" s="133"/>
      <c r="AX53" s="133"/>
      <c r="AY53" s="133"/>
      <c r="AZ53" s="133"/>
      <c r="BA53" s="133"/>
      <c r="BB53" s="133"/>
      <c r="BC53" s="133"/>
      <c r="BD53" s="133"/>
      <c r="BE53" s="133"/>
      <c r="BF53" s="133"/>
      <c r="BG53" s="133"/>
      <c r="BH53" s="133"/>
      <c r="BI53" s="133"/>
      <c r="BJ53" s="133"/>
      <c r="BK53" s="133"/>
      <c r="BL53" s="133"/>
      <c r="BM53" s="133"/>
      <c r="BN53" s="133"/>
      <c r="BO53" s="135" t="s">
        <v>1</v>
      </c>
      <c r="BP53" s="281">
        <v>2.1</v>
      </c>
      <c r="BQ53" s="282"/>
      <c r="BR53" s="282"/>
      <c r="BS53" s="282"/>
      <c r="BT53" s="283"/>
    </row>
    <row r="54" spans="1:72" ht="12" customHeight="1" x14ac:dyDescent="0.15">
      <c r="A54" s="66"/>
      <c r="B54" s="288" t="str">
        <f t="shared" si="0"/>
        <v/>
      </c>
      <c r="C54" s="289"/>
      <c r="D54" s="323"/>
      <c r="E54" s="324"/>
      <c r="F54" s="324"/>
      <c r="G54" s="324"/>
      <c r="H54" s="324"/>
      <c r="I54" s="324"/>
      <c r="J54" s="325"/>
      <c r="K54" s="326"/>
      <c r="L54" s="326"/>
      <c r="M54" s="329"/>
      <c r="N54" s="330"/>
      <c r="O54" s="330"/>
      <c r="P54" s="330"/>
      <c r="Q54" s="330"/>
      <c r="R54" s="330"/>
      <c r="S54" s="331"/>
      <c r="T54" s="327"/>
      <c r="U54" s="328"/>
      <c r="V54" s="328"/>
      <c r="W54" s="328"/>
      <c r="X54" s="328"/>
      <c r="Y54" s="332"/>
      <c r="Z54" s="324"/>
      <c r="AA54" s="324"/>
      <c r="AB54" s="324"/>
      <c r="AC54" s="324"/>
      <c r="AD54" s="327"/>
      <c r="AE54" s="328"/>
      <c r="AF54" s="328"/>
      <c r="AG54" s="328"/>
      <c r="AH54" s="328"/>
      <c r="AI54" s="349"/>
      <c r="AJ54" s="350"/>
      <c r="AK54" s="350"/>
      <c r="AL54" s="351"/>
      <c r="AM54" s="127"/>
      <c r="AO54" s="229">
        <v>1</v>
      </c>
      <c r="AP54" s="346"/>
      <c r="AQ54" s="346"/>
      <c r="AR54" s="346"/>
      <c r="AT54" s="134" t="s">
        <v>220</v>
      </c>
      <c r="AU54" s="133"/>
      <c r="AV54" s="133"/>
      <c r="AW54" s="133"/>
      <c r="AX54" s="133"/>
      <c r="AY54" s="133"/>
      <c r="AZ54" s="133"/>
      <c r="BA54" s="133"/>
      <c r="BB54" s="133"/>
      <c r="BC54" s="133"/>
      <c r="BD54" s="133"/>
      <c r="BE54" s="133"/>
      <c r="BF54" s="133"/>
      <c r="BG54" s="133"/>
      <c r="BH54" s="133"/>
      <c r="BI54" s="133"/>
      <c r="BJ54" s="133"/>
      <c r="BK54" s="133"/>
      <c r="BL54" s="133"/>
      <c r="BM54" s="133"/>
      <c r="BN54" s="133"/>
      <c r="BO54" s="135" t="s">
        <v>1</v>
      </c>
      <c r="BP54" s="281">
        <v>1.835</v>
      </c>
      <c r="BQ54" s="282"/>
      <c r="BR54" s="282"/>
      <c r="BS54" s="282"/>
      <c r="BT54" s="283"/>
    </row>
    <row r="55" spans="1:72" ht="12" customHeight="1" x14ac:dyDescent="0.15">
      <c r="A55" s="66"/>
      <c r="B55" s="288" t="str">
        <f t="shared" si="0"/>
        <v/>
      </c>
      <c r="C55" s="289"/>
      <c r="D55" s="323"/>
      <c r="E55" s="324"/>
      <c r="F55" s="324"/>
      <c r="G55" s="324"/>
      <c r="H55" s="324"/>
      <c r="I55" s="324"/>
      <c r="J55" s="325"/>
      <c r="K55" s="326"/>
      <c r="L55" s="326"/>
      <c r="M55" s="329"/>
      <c r="N55" s="330"/>
      <c r="O55" s="330"/>
      <c r="P55" s="330"/>
      <c r="Q55" s="330"/>
      <c r="R55" s="330"/>
      <c r="S55" s="331"/>
      <c r="T55" s="327"/>
      <c r="U55" s="328"/>
      <c r="V55" s="328"/>
      <c r="W55" s="328"/>
      <c r="X55" s="328"/>
      <c r="Y55" s="332"/>
      <c r="Z55" s="324"/>
      <c r="AA55" s="324"/>
      <c r="AB55" s="324"/>
      <c r="AC55" s="324"/>
      <c r="AD55" s="327"/>
      <c r="AE55" s="328"/>
      <c r="AF55" s="328"/>
      <c r="AG55" s="328"/>
      <c r="AH55" s="328"/>
      <c r="AI55" s="349"/>
      <c r="AJ55" s="350"/>
      <c r="AK55" s="350"/>
      <c r="AL55" s="351"/>
      <c r="AM55" s="127"/>
      <c r="AO55" s="229">
        <v>1</v>
      </c>
      <c r="AP55" s="346"/>
      <c r="AQ55" s="346"/>
      <c r="AR55" s="346"/>
      <c r="AT55" s="134" t="s">
        <v>223</v>
      </c>
      <c r="AU55" s="133"/>
      <c r="AV55" s="133"/>
      <c r="AW55" s="133"/>
      <c r="AX55" s="133"/>
      <c r="AY55" s="133"/>
      <c r="AZ55" s="133"/>
      <c r="BA55" s="133"/>
      <c r="BB55" s="133"/>
      <c r="BC55" s="133"/>
      <c r="BD55" s="133"/>
      <c r="BE55" s="133"/>
      <c r="BF55" s="133"/>
      <c r="BG55" s="133"/>
      <c r="BH55" s="133"/>
      <c r="BI55" s="133"/>
      <c r="BJ55" s="133"/>
      <c r="BK55" s="133"/>
      <c r="BL55" s="133"/>
      <c r="BM55" s="133"/>
      <c r="BN55" s="133"/>
      <c r="BO55" s="135" t="s">
        <v>1</v>
      </c>
      <c r="BP55" s="281">
        <v>1.835</v>
      </c>
      <c r="BQ55" s="282"/>
      <c r="BR55" s="282"/>
      <c r="BS55" s="282"/>
      <c r="BT55" s="283"/>
    </row>
    <row r="56" spans="1:72" ht="12" customHeight="1" x14ac:dyDescent="0.15">
      <c r="A56" s="66"/>
      <c r="B56" s="288" t="str">
        <f t="shared" si="0"/>
        <v/>
      </c>
      <c r="C56" s="289"/>
      <c r="D56" s="323"/>
      <c r="E56" s="324"/>
      <c r="F56" s="324"/>
      <c r="G56" s="324"/>
      <c r="H56" s="324"/>
      <c r="I56" s="324"/>
      <c r="J56" s="325"/>
      <c r="K56" s="326"/>
      <c r="L56" s="326"/>
      <c r="M56" s="329"/>
      <c r="N56" s="330"/>
      <c r="O56" s="330"/>
      <c r="P56" s="330"/>
      <c r="Q56" s="330"/>
      <c r="R56" s="330"/>
      <c r="S56" s="331"/>
      <c r="T56" s="327"/>
      <c r="U56" s="328"/>
      <c r="V56" s="328"/>
      <c r="W56" s="328"/>
      <c r="X56" s="328"/>
      <c r="Y56" s="332"/>
      <c r="Z56" s="324"/>
      <c r="AA56" s="324"/>
      <c r="AB56" s="324"/>
      <c r="AC56" s="324"/>
      <c r="AD56" s="327"/>
      <c r="AE56" s="328"/>
      <c r="AF56" s="328"/>
      <c r="AG56" s="328"/>
      <c r="AH56" s="328"/>
      <c r="AI56" s="349"/>
      <c r="AJ56" s="350"/>
      <c r="AK56" s="350"/>
      <c r="AL56" s="351"/>
      <c r="AM56" s="127"/>
      <c r="AO56" s="229">
        <v>1</v>
      </c>
      <c r="AP56" s="346"/>
      <c r="AQ56" s="346"/>
      <c r="AR56" s="346"/>
      <c r="AT56" s="134" t="s">
        <v>221</v>
      </c>
      <c r="AU56" s="133"/>
      <c r="AV56" s="133"/>
      <c r="AW56" s="133"/>
      <c r="AX56" s="133"/>
      <c r="AY56" s="133"/>
      <c r="AZ56" s="133"/>
      <c r="BA56" s="133"/>
      <c r="BB56" s="133"/>
      <c r="BC56" s="133"/>
      <c r="BD56" s="133"/>
      <c r="BE56" s="133"/>
      <c r="BF56" s="133"/>
      <c r="BG56" s="133"/>
      <c r="BH56" s="133"/>
      <c r="BI56" s="133"/>
      <c r="BJ56" s="133"/>
      <c r="BK56" s="133"/>
      <c r="BL56" s="133"/>
      <c r="BM56" s="133"/>
      <c r="BN56" s="133"/>
      <c r="BO56" s="135" t="s">
        <v>1</v>
      </c>
      <c r="BP56" s="281">
        <v>1.835</v>
      </c>
      <c r="BQ56" s="282"/>
      <c r="BR56" s="282"/>
      <c r="BS56" s="282"/>
      <c r="BT56" s="283"/>
    </row>
    <row r="57" spans="1:72" ht="12" customHeight="1" x14ac:dyDescent="0.15">
      <c r="A57" s="66"/>
      <c r="B57" s="288" t="str">
        <f t="shared" si="0"/>
        <v/>
      </c>
      <c r="C57" s="289"/>
      <c r="D57" s="323"/>
      <c r="E57" s="324"/>
      <c r="F57" s="324"/>
      <c r="G57" s="324"/>
      <c r="H57" s="324"/>
      <c r="I57" s="324"/>
      <c r="J57" s="325"/>
      <c r="K57" s="326"/>
      <c r="L57" s="326"/>
      <c r="M57" s="329"/>
      <c r="N57" s="330"/>
      <c r="O57" s="330"/>
      <c r="P57" s="330"/>
      <c r="Q57" s="330"/>
      <c r="R57" s="330"/>
      <c r="S57" s="331"/>
      <c r="T57" s="327"/>
      <c r="U57" s="328"/>
      <c r="V57" s="328"/>
      <c r="W57" s="328"/>
      <c r="X57" s="328"/>
      <c r="Y57" s="332"/>
      <c r="Z57" s="324"/>
      <c r="AA57" s="324"/>
      <c r="AB57" s="324"/>
      <c r="AC57" s="324"/>
      <c r="AD57" s="327"/>
      <c r="AE57" s="328"/>
      <c r="AF57" s="328"/>
      <c r="AG57" s="328"/>
      <c r="AH57" s="328"/>
      <c r="AI57" s="349"/>
      <c r="AJ57" s="350"/>
      <c r="AK57" s="350"/>
      <c r="AL57" s="351"/>
      <c r="AM57" s="127"/>
      <c r="AO57" s="229">
        <v>1</v>
      </c>
      <c r="AP57" s="346"/>
      <c r="AQ57" s="346"/>
      <c r="AR57" s="346"/>
      <c r="AT57" s="134" t="s">
        <v>222</v>
      </c>
      <c r="AU57" s="133"/>
      <c r="AV57" s="133"/>
      <c r="AW57" s="133"/>
      <c r="AX57" s="133"/>
      <c r="AY57" s="133"/>
      <c r="AZ57" s="133"/>
      <c r="BA57" s="133"/>
      <c r="BB57" s="133"/>
      <c r="BC57" s="133"/>
      <c r="BD57" s="133"/>
      <c r="BE57" s="133"/>
      <c r="BF57" s="133"/>
      <c r="BG57" s="133"/>
      <c r="BH57" s="133"/>
      <c r="BI57" s="133"/>
      <c r="BJ57" s="133"/>
      <c r="BK57" s="133"/>
      <c r="BL57" s="133"/>
      <c r="BM57" s="133"/>
      <c r="BN57" s="133"/>
      <c r="BO57" s="135" t="s">
        <v>1</v>
      </c>
      <c r="BP57" s="281">
        <v>1.835</v>
      </c>
      <c r="BQ57" s="282"/>
      <c r="BR57" s="282"/>
      <c r="BS57" s="282"/>
      <c r="BT57" s="283"/>
    </row>
    <row r="58" spans="1:72" ht="12" customHeight="1" x14ac:dyDescent="0.15">
      <c r="A58" s="66"/>
      <c r="B58" s="288" t="str">
        <f t="shared" si="0"/>
        <v/>
      </c>
      <c r="C58" s="289"/>
      <c r="D58" s="323"/>
      <c r="E58" s="324"/>
      <c r="F58" s="324"/>
      <c r="G58" s="324"/>
      <c r="H58" s="324"/>
      <c r="I58" s="324"/>
      <c r="J58" s="325"/>
      <c r="K58" s="326"/>
      <c r="L58" s="326"/>
      <c r="M58" s="329"/>
      <c r="N58" s="330"/>
      <c r="O58" s="330"/>
      <c r="P58" s="330"/>
      <c r="Q58" s="330"/>
      <c r="R58" s="330"/>
      <c r="S58" s="331"/>
      <c r="T58" s="327"/>
      <c r="U58" s="328"/>
      <c r="V58" s="328"/>
      <c r="W58" s="328"/>
      <c r="X58" s="328"/>
      <c r="Y58" s="332"/>
      <c r="Z58" s="324"/>
      <c r="AA58" s="324"/>
      <c r="AB58" s="324"/>
      <c r="AC58" s="324"/>
      <c r="AD58" s="327"/>
      <c r="AE58" s="328"/>
      <c r="AF58" s="328"/>
      <c r="AG58" s="328"/>
      <c r="AH58" s="328"/>
      <c r="AI58" s="349"/>
      <c r="AJ58" s="350"/>
      <c r="AK58" s="350"/>
      <c r="AL58" s="351"/>
      <c r="AM58" s="127"/>
      <c r="AO58" s="229">
        <v>1</v>
      </c>
      <c r="AP58" s="346"/>
      <c r="AQ58" s="346"/>
      <c r="AR58" s="346"/>
      <c r="AT58" s="132" t="s">
        <v>224</v>
      </c>
      <c r="AU58" s="130"/>
      <c r="AV58" s="130"/>
      <c r="AW58" s="130"/>
      <c r="AX58" s="130"/>
      <c r="AY58" s="130"/>
      <c r="AZ58" s="130"/>
      <c r="BA58" s="130"/>
      <c r="BB58" s="130"/>
      <c r="BC58" s="130"/>
      <c r="BD58" s="130"/>
      <c r="BE58" s="130"/>
      <c r="BF58" s="130"/>
      <c r="BG58" s="130"/>
      <c r="BH58" s="130"/>
      <c r="BI58" s="130"/>
      <c r="BJ58" s="130"/>
      <c r="BK58" s="130"/>
      <c r="BL58" s="130"/>
      <c r="BM58" s="130"/>
      <c r="BN58" s="130"/>
      <c r="BO58" s="131" t="s">
        <v>1</v>
      </c>
      <c r="BP58" s="281">
        <v>1</v>
      </c>
      <c r="BQ58" s="282"/>
      <c r="BR58" s="282"/>
      <c r="BS58" s="282"/>
      <c r="BT58" s="283"/>
    </row>
    <row r="59" spans="1:72" ht="12" customHeight="1" x14ac:dyDescent="0.15">
      <c r="A59" s="66"/>
      <c r="B59" s="288" t="str">
        <f>IF(AND(D59&lt;&gt;"",J59&lt;&gt;"",M59&lt;&gt;"",T59&lt;&gt;"",Y59&lt;&gt;""),B58+1,"")</f>
        <v/>
      </c>
      <c r="C59" s="289"/>
      <c r="D59" s="323"/>
      <c r="E59" s="324"/>
      <c r="F59" s="324"/>
      <c r="G59" s="324"/>
      <c r="H59" s="324"/>
      <c r="I59" s="324"/>
      <c r="J59" s="325"/>
      <c r="K59" s="326"/>
      <c r="L59" s="326"/>
      <c r="M59" s="329"/>
      <c r="N59" s="330"/>
      <c r="O59" s="330"/>
      <c r="P59" s="330"/>
      <c r="Q59" s="330"/>
      <c r="R59" s="330"/>
      <c r="S59" s="331"/>
      <c r="T59" s="327"/>
      <c r="U59" s="328"/>
      <c r="V59" s="328"/>
      <c r="W59" s="328"/>
      <c r="X59" s="328"/>
      <c r="Y59" s="332"/>
      <c r="Z59" s="324"/>
      <c r="AA59" s="324"/>
      <c r="AB59" s="324"/>
      <c r="AC59" s="324"/>
      <c r="AD59" s="327"/>
      <c r="AE59" s="328"/>
      <c r="AF59" s="328"/>
      <c r="AG59" s="328"/>
      <c r="AH59" s="328"/>
      <c r="AI59" s="349"/>
      <c r="AJ59" s="350"/>
      <c r="AK59" s="350"/>
      <c r="AL59" s="351"/>
      <c r="AM59" s="127"/>
      <c r="AO59" s="229">
        <v>1</v>
      </c>
      <c r="AP59" s="346"/>
      <c r="AQ59" s="346"/>
      <c r="AR59" s="346"/>
      <c r="AT59" s="137" t="s">
        <v>225</v>
      </c>
      <c r="AU59" s="136"/>
      <c r="AV59" s="136"/>
      <c r="AW59" s="136"/>
      <c r="AX59" s="136"/>
      <c r="AY59" s="136"/>
      <c r="AZ59" s="136"/>
      <c r="BA59" s="136"/>
      <c r="BB59" s="136"/>
      <c r="BC59" s="136"/>
      <c r="BD59" s="136"/>
      <c r="BE59" s="136"/>
      <c r="BF59" s="136"/>
      <c r="BG59" s="136"/>
      <c r="BH59" s="136"/>
      <c r="BI59" s="136"/>
      <c r="BJ59" s="136"/>
      <c r="BK59" s="136"/>
      <c r="BL59" s="136"/>
      <c r="BM59" s="136"/>
      <c r="BN59" s="136"/>
      <c r="BO59" s="138" t="s">
        <v>1</v>
      </c>
      <c r="BP59" s="281">
        <v>0.35</v>
      </c>
      <c r="BQ59" s="282"/>
      <c r="BR59" s="282"/>
      <c r="BS59" s="282"/>
      <c r="BT59" s="283"/>
    </row>
    <row r="60" spans="1:72" ht="12" customHeight="1" x14ac:dyDescent="0.15">
      <c r="A60" s="129"/>
      <c r="B60" s="120">
        <v>-2</v>
      </c>
      <c r="C60" s="120">
        <v>-1</v>
      </c>
      <c r="D60" s="120">
        <v>0</v>
      </c>
      <c r="E60" s="120">
        <v>1</v>
      </c>
      <c r="F60" s="120">
        <v>2</v>
      </c>
      <c r="G60" s="120">
        <v>3</v>
      </c>
      <c r="H60" s="120">
        <v>4</v>
      </c>
      <c r="I60" s="120">
        <v>5</v>
      </c>
      <c r="J60" s="120">
        <v>6</v>
      </c>
      <c r="K60" s="120">
        <v>7</v>
      </c>
      <c r="L60" s="120">
        <v>8</v>
      </c>
      <c r="M60" s="120">
        <v>9</v>
      </c>
      <c r="N60" s="120">
        <v>10</v>
      </c>
      <c r="O60" s="120">
        <v>11</v>
      </c>
      <c r="P60" s="120">
        <v>12</v>
      </c>
      <c r="Q60" s="120">
        <v>13</v>
      </c>
      <c r="R60" s="120">
        <v>14</v>
      </c>
      <c r="S60" s="120">
        <v>15</v>
      </c>
      <c r="T60" s="120">
        <v>16</v>
      </c>
      <c r="U60" s="120">
        <v>17</v>
      </c>
      <c r="V60" s="120">
        <v>18</v>
      </c>
      <c r="W60" s="120">
        <v>19</v>
      </c>
      <c r="X60" s="120">
        <v>20</v>
      </c>
      <c r="Y60" s="121">
        <v>21</v>
      </c>
      <c r="Z60" s="121">
        <v>22</v>
      </c>
      <c r="AA60" s="121">
        <v>23</v>
      </c>
      <c r="AB60" s="121">
        <v>24</v>
      </c>
      <c r="AC60" s="121">
        <v>25</v>
      </c>
      <c r="AD60" s="121">
        <v>26</v>
      </c>
      <c r="AE60" s="120">
        <v>27</v>
      </c>
      <c r="AF60" s="120">
        <v>28</v>
      </c>
      <c r="AG60" s="120">
        <v>29</v>
      </c>
      <c r="AH60" s="120">
        <v>30</v>
      </c>
      <c r="AI60" s="121">
        <v>31</v>
      </c>
      <c r="AJ60" s="121">
        <v>32</v>
      </c>
      <c r="AK60" s="121">
        <v>33</v>
      </c>
      <c r="AL60" s="121">
        <v>34</v>
      </c>
      <c r="AM60" s="129"/>
      <c r="AT60" s="140" t="s">
        <v>228</v>
      </c>
      <c r="AU60" s="139"/>
      <c r="AV60" s="139"/>
      <c r="AW60" s="139"/>
      <c r="AX60" s="139"/>
      <c r="AY60" s="139"/>
      <c r="AZ60" s="139"/>
      <c r="BA60" s="139"/>
      <c r="BB60" s="139"/>
      <c r="BC60" s="139"/>
      <c r="BD60" s="139"/>
      <c r="BE60" s="139"/>
      <c r="BF60" s="139"/>
      <c r="BG60" s="139"/>
      <c r="BH60" s="139"/>
      <c r="BI60" s="139"/>
      <c r="BJ60" s="139"/>
      <c r="BK60" s="139"/>
      <c r="BL60" s="139"/>
      <c r="BM60" s="139"/>
      <c r="BN60" s="139"/>
      <c r="BO60" s="141" t="s">
        <v>1</v>
      </c>
      <c r="BP60" s="281">
        <v>0.35</v>
      </c>
      <c r="BQ60" s="282"/>
      <c r="BR60" s="282"/>
      <c r="BS60" s="282"/>
      <c r="BT60" s="283"/>
    </row>
    <row r="61" spans="1:72" ht="12" customHeight="1" x14ac:dyDescent="0.15">
      <c r="A61" s="71"/>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73"/>
    </row>
    <row r="62" spans="1:72" ht="12" customHeight="1" x14ac:dyDescent="0.15">
      <c r="A62" s="66"/>
      <c r="AM62" s="67"/>
      <c r="AT62" s="140" t="s">
        <v>226</v>
      </c>
      <c r="AU62" s="139"/>
      <c r="AV62" s="139"/>
      <c r="AW62" s="139"/>
      <c r="AX62" s="139"/>
      <c r="AY62" s="139"/>
      <c r="AZ62" s="139"/>
      <c r="BA62" s="139"/>
      <c r="BB62" s="139"/>
      <c r="BC62" s="139"/>
      <c r="BD62" s="139"/>
      <c r="BE62" s="139"/>
      <c r="BF62" s="139"/>
      <c r="BG62" s="139"/>
      <c r="BH62" s="139"/>
      <c r="BI62" s="139"/>
      <c r="BJ62" s="139"/>
      <c r="BK62" s="139"/>
      <c r="BL62" s="139"/>
      <c r="BM62" s="139"/>
      <c r="BN62" s="139"/>
      <c r="BO62" s="141" t="s">
        <v>1</v>
      </c>
      <c r="BP62" s="278" t="s">
        <v>227</v>
      </c>
      <c r="BQ62" s="279"/>
      <c r="BR62" s="279"/>
      <c r="BS62" s="279"/>
      <c r="BT62" s="280"/>
    </row>
    <row r="63" spans="1:72" ht="12" customHeight="1" x14ac:dyDescent="0.15">
      <c r="A63" s="66"/>
      <c r="B63" s="77" t="s">
        <v>201</v>
      </c>
      <c r="AM63" s="67"/>
      <c r="AT63" s="79"/>
      <c r="AU63" s="79"/>
    </row>
    <row r="64" spans="1:72" ht="12" customHeight="1" x14ac:dyDescent="0.15">
      <c r="A64" s="66"/>
      <c r="AM64" s="67"/>
      <c r="AT64" s="79"/>
      <c r="AU64" s="79"/>
    </row>
    <row r="65" spans="1:47" ht="12" customHeight="1" x14ac:dyDescent="0.15">
      <c r="A65" s="66"/>
      <c r="B65" s="307" t="s">
        <v>127</v>
      </c>
      <c r="C65" s="308"/>
      <c r="D65" s="313" t="s">
        <v>128</v>
      </c>
      <c r="E65" s="314"/>
      <c r="F65" s="314"/>
      <c r="G65" s="314"/>
      <c r="H65" s="314"/>
      <c r="I65" s="314"/>
      <c r="J65" s="286"/>
      <c r="K65" s="286"/>
      <c r="L65" s="287"/>
      <c r="M65" s="313" t="s">
        <v>182</v>
      </c>
      <c r="N65" s="286"/>
      <c r="O65" s="286"/>
      <c r="P65" s="286"/>
      <c r="Q65" s="286"/>
      <c r="R65" s="286"/>
      <c r="S65" s="287"/>
      <c r="T65" s="309" t="s">
        <v>185</v>
      </c>
      <c r="U65" s="310"/>
      <c r="V65" s="310"/>
      <c r="W65" s="310"/>
      <c r="X65" s="310"/>
      <c r="Y65" s="322" t="s">
        <v>209</v>
      </c>
      <c r="Z65" s="289"/>
      <c r="AA65" s="289"/>
      <c r="AB65" s="289"/>
      <c r="AC65" s="289"/>
      <c r="AD65" s="322" t="s">
        <v>210</v>
      </c>
      <c r="AE65" s="289"/>
      <c r="AF65" s="289"/>
      <c r="AG65" s="289"/>
      <c r="AH65" s="289"/>
      <c r="AM65" s="67"/>
      <c r="AT65" s="79"/>
      <c r="AU65" s="79"/>
    </row>
    <row r="66" spans="1:47" ht="12" customHeight="1" x14ac:dyDescent="0.15">
      <c r="A66" s="66"/>
      <c r="B66" s="288">
        <f>IF(AND(D66&lt;&gt;"",M66&lt;&gt;"",T66&lt;&gt;"",Y66&lt;&gt;"",AD66&lt;&gt;""),1,"")</f>
        <v>1</v>
      </c>
      <c r="C66" s="289"/>
      <c r="D66" s="284" t="s">
        <v>177</v>
      </c>
      <c r="E66" s="285"/>
      <c r="F66" s="285"/>
      <c r="G66" s="285"/>
      <c r="H66" s="285"/>
      <c r="I66" s="285"/>
      <c r="J66" s="286"/>
      <c r="K66" s="286"/>
      <c r="L66" s="287"/>
      <c r="M66" s="297" t="s">
        <v>200</v>
      </c>
      <c r="N66" s="317"/>
      <c r="O66" s="317"/>
      <c r="P66" s="317"/>
      <c r="Q66" s="317"/>
      <c r="R66" s="317"/>
      <c r="S66" s="318"/>
      <c r="T66" s="298" t="s">
        <v>186</v>
      </c>
      <c r="U66" s="299"/>
      <c r="V66" s="299"/>
      <c r="W66" s="299"/>
      <c r="X66" s="300"/>
      <c r="Y66" s="306" t="s">
        <v>18</v>
      </c>
      <c r="Z66" s="289"/>
      <c r="AA66" s="289"/>
      <c r="AB66" s="289"/>
      <c r="AC66" s="289"/>
      <c r="AD66" s="319" t="s">
        <v>186</v>
      </c>
      <c r="AE66" s="320"/>
      <c r="AF66" s="320"/>
      <c r="AG66" s="320"/>
      <c r="AH66" s="321"/>
      <c r="AM66" s="67"/>
      <c r="AT66" s="79"/>
      <c r="AU66" s="79"/>
    </row>
    <row r="67" spans="1:47" ht="12" customHeight="1" x14ac:dyDescent="0.15">
      <c r="A67" s="66"/>
      <c r="B67" s="288">
        <f>IF(AND(D67&lt;&gt;"",M67&lt;&gt;"",T67&lt;&gt;"",Y67&lt;&gt;"",AD67&lt;&gt;""),B66+1,"")</f>
        <v>2</v>
      </c>
      <c r="C67" s="289"/>
      <c r="D67" s="284" t="s">
        <v>178</v>
      </c>
      <c r="E67" s="285"/>
      <c r="F67" s="285"/>
      <c r="G67" s="285"/>
      <c r="H67" s="285"/>
      <c r="I67" s="285"/>
      <c r="J67" s="286"/>
      <c r="K67" s="286"/>
      <c r="L67" s="287"/>
      <c r="M67" s="297" t="s">
        <v>200</v>
      </c>
      <c r="N67" s="317"/>
      <c r="O67" s="317"/>
      <c r="P67" s="317"/>
      <c r="Q67" s="317"/>
      <c r="R67" s="317"/>
      <c r="S67" s="318"/>
      <c r="T67" s="298" t="s">
        <v>187</v>
      </c>
      <c r="U67" s="299"/>
      <c r="V67" s="299"/>
      <c r="W67" s="299"/>
      <c r="X67" s="300"/>
      <c r="Y67" s="306" t="s">
        <v>18</v>
      </c>
      <c r="Z67" s="289"/>
      <c r="AA67" s="289"/>
      <c r="AB67" s="289"/>
      <c r="AC67" s="289"/>
      <c r="AD67" s="319" t="s">
        <v>187</v>
      </c>
      <c r="AE67" s="320"/>
      <c r="AF67" s="320"/>
      <c r="AG67" s="320"/>
      <c r="AH67" s="321"/>
      <c r="AM67" s="67"/>
      <c r="AT67" s="79"/>
      <c r="AU67" s="79"/>
    </row>
    <row r="68" spans="1:47" ht="12" customHeight="1" x14ac:dyDescent="0.15">
      <c r="A68" s="66"/>
      <c r="B68" s="288">
        <f t="shared" ref="B68:B76" si="1">IF(AND(D68&lt;&gt;"",M68&lt;&gt;"",T68&lt;&gt;"",Y68&lt;&gt;"",AD68&lt;&gt;""),B67+1,"")</f>
        <v>3</v>
      </c>
      <c r="C68" s="289"/>
      <c r="D68" s="284" t="s">
        <v>179</v>
      </c>
      <c r="E68" s="285"/>
      <c r="F68" s="285"/>
      <c r="G68" s="285"/>
      <c r="H68" s="285"/>
      <c r="I68" s="285"/>
      <c r="J68" s="286"/>
      <c r="K68" s="286"/>
      <c r="L68" s="287"/>
      <c r="M68" s="297" t="s">
        <v>200</v>
      </c>
      <c r="N68" s="317"/>
      <c r="O68" s="317"/>
      <c r="P68" s="317"/>
      <c r="Q68" s="317"/>
      <c r="R68" s="317"/>
      <c r="S68" s="318"/>
      <c r="T68" s="298" t="s">
        <v>189</v>
      </c>
      <c r="U68" s="299"/>
      <c r="V68" s="299"/>
      <c r="W68" s="299"/>
      <c r="X68" s="300"/>
      <c r="Y68" s="306" t="s">
        <v>18</v>
      </c>
      <c r="Z68" s="289"/>
      <c r="AA68" s="289"/>
      <c r="AB68" s="289"/>
      <c r="AC68" s="289"/>
      <c r="AD68" s="319" t="s">
        <v>189</v>
      </c>
      <c r="AE68" s="320"/>
      <c r="AF68" s="320"/>
      <c r="AG68" s="320"/>
      <c r="AH68" s="321"/>
      <c r="AM68" s="67"/>
      <c r="AT68" s="79"/>
      <c r="AU68" s="79"/>
    </row>
    <row r="69" spans="1:47" ht="12" customHeight="1" x14ac:dyDescent="0.15">
      <c r="A69" s="66"/>
      <c r="B69" s="288">
        <f t="shared" si="1"/>
        <v>4</v>
      </c>
      <c r="C69" s="289"/>
      <c r="D69" s="284" t="s">
        <v>180</v>
      </c>
      <c r="E69" s="285"/>
      <c r="F69" s="285"/>
      <c r="G69" s="285"/>
      <c r="H69" s="285"/>
      <c r="I69" s="285"/>
      <c r="J69" s="286"/>
      <c r="K69" s="286"/>
      <c r="L69" s="287"/>
      <c r="M69" s="297" t="s">
        <v>200</v>
      </c>
      <c r="N69" s="317"/>
      <c r="O69" s="317"/>
      <c r="P69" s="317"/>
      <c r="Q69" s="317"/>
      <c r="R69" s="317"/>
      <c r="S69" s="318"/>
      <c r="T69" s="298" t="s">
        <v>188</v>
      </c>
      <c r="U69" s="299"/>
      <c r="V69" s="299"/>
      <c r="W69" s="299"/>
      <c r="X69" s="300"/>
      <c r="Y69" s="306" t="s">
        <v>18</v>
      </c>
      <c r="Z69" s="289"/>
      <c r="AA69" s="289"/>
      <c r="AB69" s="289"/>
      <c r="AC69" s="289"/>
      <c r="AD69" s="319" t="s">
        <v>188</v>
      </c>
      <c r="AE69" s="320"/>
      <c r="AF69" s="320"/>
      <c r="AG69" s="320"/>
      <c r="AH69" s="321"/>
      <c r="AM69" s="67"/>
    </row>
    <row r="70" spans="1:47" ht="12" customHeight="1" x14ac:dyDescent="0.15">
      <c r="A70" s="66"/>
      <c r="B70" s="288">
        <f t="shared" si="1"/>
        <v>5</v>
      </c>
      <c r="C70" s="289"/>
      <c r="D70" s="284" t="s">
        <v>181</v>
      </c>
      <c r="E70" s="294"/>
      <c r="F70" s="294"/>
      <c r="G70" s="294"/>
      <c r="H70" s="294"/>
      <c r="I70" s="294"/>
      <c r="J70" s="286"/>
      <c r="K70" s="286"/>
      <c r="L70" s="287"/>
      <c r="M70" s="297" t="s">
        <v>200</v>
      </c>
      <c r="N70" s="317"/>
      <c r="O70" s="317"/>
      <c r="P70" s="317"/>
      <c r="Q70" s="317"/>
      <c r="R70" s="317"/>
      <c r="S70" s="318"/>
      <c r="T70" s="298" t="s">
        <v>190</v>
      </c>
      <c r="U70" s="299"/>
      <c r="V70" s="299"/>
      <c r="W70" s="299"/>
      <c r="X70" s="300"/>
      <c r="Y70" s="306" t="s">
        <v>18</v>
      </c>
      <c r="Z70" s="289"/>
      <c r="AA70" s="289"/>
      <c r="AB70" s="289"/>
      <c r="AC70" s="289"/>
      <c r="AD70" s="319" t="s">
        <v>190</v>
      </c>
      <c r="AE70" s="320"/>
      <c r="AF70" s="320"/>
      <c r="AG70" s="320"/>
      <c r="AH70" s="321"/>
      <c r="AM70" s="67"/>
    </row>
    <row r="71" spans="1:47" ht="12" customHeight="1" x14ac:dyDescent="0.15">
      <c r="A71" s="66"/>
      <c r="B71" s="288" t="str">
        <f t="shared" si="1"/>
        <v/>
      </c>
      <c r="C71" s="289"/>
      <c r="D71" s="284"/>
      <c r="E71" s="294"/>
      <c r="F71" s="294"/>
      <c r="G71" s="294"/>
      <c r="H71" s="294"/>
      <c r="I71" s="294"/>
      <c r="J71" s="286"/>
      <c r="K71" s="286"/>
      <c r="L71" s="287"/>
      <c r="M71" s="301"/>
      <c r="N71" s="302"/>
      <c r="O71" s="302"/>
      <c r="P71" s="302"/>
      <c r="Q71" s="302"/>
      <c r="R71" s="302"/>
      <c r="S71" s="303"/>
      <c r="T71" s="304"/>
      <c r="U71" s="305"/>
      <c r="V71" s="305"/>
      <c r="W71" s="305"/>
      <c r="X71" s="305"/>
      <c r="Y71" s="306"/>
      <c r="Z71" s="289"/>
      <c r="AA71" s="289"/>
      <c r="AB71" s="289"/>
      <c r="AC71" s="289"/>
      <c r="AD71" s="288"/>
      <c r="AE71" s="289"/>
      <c r="AF71" s="289"/>
      <c r="AG71" s="289"/>
      <c r="AH71" s="289"/>
      <c r="AM71" s="67"/>
    </row>
    <row r="72" spans="1:47" ht="12" customHeight="1" x14ac:dyDescent="0.15">
      <c r="A72" s="66"/>
      <c r="B72" s="288" t="str">
        <f t="shared" si="1"/>
        <v/>
      </c>
      <c r="C72" s="289"/>
      <c r="D72" s="284"/>
      <c r="E72" s="294"/>
      <c r="F72" s="294"/>
      <c r="G72" s="294"/>
      <c r="H72" s="294"/>
      <c r="I72" s="294"/>
      <c r="J72" s="286"/>
      <c r="K72" s="286"/>
      <c r="L72" s="287"/>
      <c r="M72" s="301"/>
      <c r="N72" s="302"/>
      <c r="O72" s="302"/>
      <c r="P72" s="302"/>
      <c r="Q72" s="302"/>
      <c r="R72" s="302"/>
      <c r="S72" s="303"/>
      <c r="T72" s="304"/>
      <c r="U72" s="305"/>
      <c r="V72" s="305"/>
      <c r="W72" s="305"/>
      <c r="X72" s="305"/>
      <c r="Y72" s="306"/>
      <c r="Z72" s="289"/>
      <c r="AA72" s="289"/>
      <c r="AB72" s="289"/>
      <c r="AC72" s="289"/>
      <c r="AD72" s="288"/>
      <c r="AE72" s="289"/>
      <c r="AF72" s="289"/>
      <c r="AG72" s="289"/>
      <c r="AH72" s="289"/>
      <c r="AM72" s="67"/>
    </row>
    <row r="73" spans="1:47" ht="12" customHeight="1" x14ac:dyDescent="0.15">
      <c r="A73" s="66"/>
      <c r="B73" s="288" t="str">
        <f t="shared" si="1"/>
        <v/>
      </c>
      <c r="C73" s="289"/>
      <c r="D73" s="284"/>
      <c r="E73" s="294"/>
      <c r="F73" s="294"/>
      <c r="G73" s="294"/>
      <c r="H73" s="294"/>
      <c r="I73" s="294"/>
      <c r="J73" s="286"/>
      <c r="K73" s="286"/>
      <c r="L73" s="287"/>
      <c r="M73" s="301"/>
      <c r="N73" s="302"/>
      <c r="O73" s="302"/>
      <c r="P73" s="302"/>
      <c r="Q73" s="302"/>
      <c r="R73" s="302"/>
      <c r="S73" s="303"/>
      <c r="T73" s="304"/>
      <c r="U73" s="305"/>
      <c r="V73" s="305"/>
      <c r="W73" s="305"/>
      <c r="X73" s="305"/>
      <c r="Y73" s="306"/>
      <c r="Z73" s="289"/>
      <c r="AA73" s="289"/>
      <c r="AB73" s="289"/>
      <c r="AC73" s="289"/>
      <c r="AD73" s="288"/>
      <c r="AE73" s="289"/>
      <c r="AF73" s="289"/>
      <c r="AG73" s="289"/>
      <c r="AH73" s="289"/>
      <c r="AM73" s="67"/>
    </row>
    <row r="74" spans="1:47" ht="12" customHeight="1" x14ac:dyDescent="0.15">
      <c r="A74" s="66"/>
      <c r="B74" s="288" t="str">
        <f t="shared" si="1"/>
        <v/>
      </c>
      <c r="C74" s="289"/>
      <c r="D74" s="284"/>
      <c r="E74" s="294"/>
      <c r="F74" s="294"/>
      <c r="G74" s="294"/>
      <c r="H74" s="294"/>
      <c r="I74" s="294"/>
      <c r="J74" s="286"/>
      <c r="K74" s="286"/>
      <c r="L74" s="287"/>
      <c r="M74" s="301"/>
      <c r="N74" s="302"/>
      <c r="O74" s="302"/>
      <c r="P74" s="302"/>
      <c r="Q74" s="302"/>
      <c r="R74" s="302"/>
      <c r="S74" s="303"/>
      <c r="T74" s="304"/>
      <c r="U74" s="305"/>
      <c r="V74" s="305"/>
      <c r="W74" s="305"/>
      <c r="X74" s="305"/>
      <c r="Y74" s="306"/>
      <c r="Z74" s="289"/>
      <c r="AA74" s="289"/>
      <c r="AB74" s="289"/>
      <c r="AC74" s="289"/>
      <c r="AD74" s="288"/>
      <c r="AE74" s="289"/>
      <c r="AF74" s="289"/>
      <c r="AG74" s="289"/>
      <c r="AH74" s="289"/>
      <c r="AM74" s="67"/>
    </row>
    <row r="75" spans="1:47" ht="12" customHeight="1" x14ac:dyDescent="0.15">
      <c r="A75" s="66"/>
      <c r="B75" s="288" t="str">
        <f t="shared" si="1"/>
        <v/>
      </c>
      <c r="C75" s="289"/>
      <c r="D75" s="284"/>
      <c r="E75" s="294"/>
      <c r="F75" s="294"/>
      <c r="G75" s="294"/>
      <c r="H75" s="294"/>
      <c r="I75" s="294"/>
      <c r="J75" s="286"/>
      <c r="K75" s="286"/>
      <c r="L75" s="287"/>
      <c r="M75" s="301"/>
      <c r="N75" s="302"/>
      <c r="O75" s="302"/>
      <c r="P75" s="302"/>
      <c r="Q75" s="302"/>
      <c r="R75" s="302"/>
      <c r="S75" s="303"/>
      <c r="T75" s="304"/>
      <c r="U75" s="305"/>
      <c r="V75" s="305"/>
      <c r="W75" s="305"/>
      <c r="X75" s="305"/>
      <c r="Y75" s="306"/>
      <c r="Z75" s="289"/>
      <c r="AA75" s="289"/>
      <c r="AB75" s="289"/>
      <c r="AC75" s="289"/>
      <c r="AD75" s="288"/>
      <c r="AE75" s="289"/>
      <c r="AF75" s="289"/>
      <c r="AG75" s="289"/>
      <c r="AH75" s="289"/>
      <c r="AM75" s="67"/>
    </row>
    <row r="76" spans="1:47" ht="12" customHeight="1" x14ac:dyDescent="0.15">
      <c r="A76" s="66"/>
      <c r="B76" s="288" t="str">
        <f t="shared" si="1"/>
        <v/>
      </c>
      <c r="C76" s="289"/>
      <c r="D76" s="284"/>
      <c r="E76" s="294"/>
      <c r="F76" s="294"/>
      <c r="G76" s="294"/>
      <c r="H76" s="294"/>
      <c r="I76" s="294"/>
      <c r="J76" s="286"/>
      <c r="K76" s="286"/>
      <c r="L76" s="287"/>
      <c r="M76" s="301"/>
      <c r="N76" s="302"/>
      <c r="O76" s="302"/>
      <c r="P76" s="302"/>
      <c r="Q76" s="302"/>
      <c r="R76" s="302"/>
      <c r="S76" s="303"/>
      <c r="T76" s="304"/>
      <c r="U76" s="305"/>
      <c r="V76" s="305"/>
      <c r="W76" s="305"/>
      <c r="X76" s="305"/>
      <c r="Y76" s="306"/>
      <c r="Z76" s="289"/>
      <c r="AA76" s="289"/>
      <c r="AB76" s="289"/>
      <c r="AC76" s="289"/>
      <c r="AD76" s="288"/>
      <c r="AE76" s="289"/>
      <c r="AF76" s="289"/>
      <c r="AG76" s="289"/>
      <c r="AH76" s="289"/>
      <c r="AM76" s="67"/>
    </row>
    <row r="77" spans="1:47" ht="12" customHeight="1" x14ac:dyDescent="0.15">
      <c r="A77" s="66"/>
      <c r="B77" s="120">
        <v>-2</v>
      </c>
      <c r="C77" s="120">
        <v>-1</v>
      </c>
      <c r="D77" s="120">
        <v>0</v>
      </c>
      <c r="E77" s="120">
        <v>1</v>
      </c>
      <c r="F77" s="120">
        <v>2</v>
      </c>
      <c r="G77" s="120">
        <v>3</v>
      </c>
      <c r="H77" s="120">
        <v>4</v>
      </c>
      <c r="I77" s="120">
        <v>5</v>
      </c>
      <c r="J77" s="120">
        <v>6</v>
      </c>
      <c r="K77" s="120">
        <v>7</v>
      </c>
      <c r="L77" s="120">
        <v>8</v>
      </c>
      <c r="M77" s="120">
        <v>9</v>
      </c>
      <c r="N77" s="120">
        <v>10</v>
      </c>
      <c r="O77" s="120">
        <v>11</v>
      </c>
      <c r="P77" s="120">
        <v>12</v>
      </c>
      <c r="Q77" s="120">
        <v>13</v>
      </c>
      <c r="R77" s="120">
        <v>14</v>
      </c>
      <c r="S77" s="120">
        <v>15</v>
      </c>
      <c r="T77" s="120">
        <v>16</v>
      </c>
      <c r="U77" s="120">
        <v>17</v>
      </c>
      <c r="V77" s="120">
        <v>18</v>
      </c>
      <c r="W77" s="120">
        <v>19</v>
      </c>
      <c r="X77" s="120">
        <v>20</v>
      </c>
      <c r="Y77" s="121">
        <v>21</v>
      </c>
      <c r="Z77" s="121">
        <v>22</v>
      </c>
      <c r="AA77" s="121">
        <v>23</v>
      </c>
      <c r="AB77" s="121">
        <v>24</v>
      </c>
      <c r="AC77" s="121">
        <v>25</v>
      </c>
      <c r="AD77" s="121">
        <v>26</v>
      </c>
      <c r="AE77" s="120">
        <v>27</v>
      </c>
      <c r="AF77" s="120">
        <v>28</v>
      </c>
      <c r="AG77" s="120">
        <v>29</v>
      </c>
      <c r="AH77" s="120">
        <v>30</v>
      </c>
      <c r="AM77" s="67"/>
    </row>
    <row r="78" spans="1:47" ht="12" customHeight="1" x14ac:dyDescent="0.15">
      <c r="A78" s="66"/>
      <c r="AM78" s="67"/>
    </row>
    <row r="79" spans="1:47" ht="12" customHeight="1" x14ac:dyDescent="0.15">
      <c r="A79" s="66"/>
      <c r="B79" s="77" t="s">
        <v>202</v>
      </c>
      <c r="AM79" s="67"/>
    </row>
    <row r="80" spans="1:47" ht="12" customHeight="1" x14ac:dyDescent="0.15">
      <c r="A80" s="66"/>
      <c r="AM80" s="67"/>
    </row>
    <row r="81" spans="1:39" ht="12" customHeight="1" x14ac:dyDescent="0.15">
      <c r="A81" s="66"/>
      <c r="B81" s="307" t="s">
        <v>127</v>
      </c>
      <c r="C81" s="308"/>
      <c r="D81" s="313" t="s">
        <v>128</v>
      </c>
      <c r="E81" s="314"/>
      <c r="F81" s="314"/>
      <c r="G81" s="314"/>
      <c r="H81" s="314"/>
      <c r="I81" s="314"/>
      <c r="J81" s="286"/>
      <c r="K81" s="286"/>
      <c r="L81" s="287"/>
      <c r="M81" s="313" t="s">
        <v>182</v>
      </c>
      <c r="N81" s="286"/>
      <c r="O81" s="286"/>
      <c r="P81" s="286"/>
      <c r="Q81" s="286"/>
      <c r="R81" s="309" t="s">
        <v>183</v>
      </c>
      <c r="S81" s="310"/>
      <c r="T81" s="310"/>
      <c r="U81" s="310"/>
      <c r="V81" s="310"/>
      <c r="W81" s="310" t="s">
        <v>184</v>
      </c>
      <c r="X81" s="311"/>
      <c r="Y81" s="311"/>
      <c r="Z81" s="311"/>
      <c r="AA81" s="311"/>
      <c r="AB81" s="313" t="s">
        <v>191</v>
      </c>
      <c r="AC81" s="314"/>
      <c r="AD81" s="314"/>
      <c r="AE81" s="314"/>
      <c r="AF81" s="314"/>
      <c r="AG81" s="286"/>
      <c r="AH81" s="287"/>
      <c r="AM81" s="67"/>
    </row>
    <row r="82" spans="1:39" ht="12" customHeight="1" x14ac:dyDescent="0.15">
      <c r="A82" s="66"/>
      <c r="B82" s="288">
        <f>IF(AND(D82&lt;&gt;"",M82&lt;&gt;"",R82&lt;&gt;"",W82&lt;&gt;"",AB82&lt;&gt;""),1,"")</f>
        <v>1</v>
      </c>
      <c r="C82" s="289"/>
      <c r="D82" s="284" t="s">
        <v>192</v>
      </c>
      <c r="E82" s="285"/>
      <c r="F82" s="285"/>
      <c r="G82" s="285"/>
      <c r="H82" s="285"/>
      <c r="I82" s="285"/>
      <c r="J82" s="286"/>
      <c r="K82" s="286"/>
      <c r="L82" s="287"/>
      <c r="M82" s="291" t="s">
        <v>195</v>
      </c>
      <c r="N82" s="286"/>
      <c r="O82" s="286"/>
      <c r="P82" s="286"/>
      <c r="Q82" s="286"/>
      <c r="R82" s="284" t="s">
        <v>194</v>
      </c>
      <c r="S82" s="285"/>
      <c r="T82" s="285"/>
      <c r="U82" s="285"/>
      <c r="V82" s="290"/>
      <c r="W82" s="312" t="s">
        <v>195</v>
      </c>
      <c r="X82" s="305"/>
      <c r="Y82" s="305"/>
      <c r="Z82" s="305"/>
      <c r="AA82" s="305"/>
      <c r="AB82" s="315">
        <v>6</v>
      </c>
      <c r="AC82" s="316"/>
      <c r="AD82" s="316"/>
      <c r="AE82" s="316"/>
      <c r="AF82" s="316"/>
      <c r="AG82" s="286"/>
      <c r="AH82" s="287"/>
      <c r="AM82" s="67"/>
    </row>
    <row r="83" spans="1:39" ht="12" customHeight="1" x14ac:dyDescent="0.15">
      <c r="A83" s="66"/>
      <c r="B83" s="288">
        <f t="shared" ref="B83:B92" si="2">IF(AND(D83&lt;&gt;"",M83&lt;&gt;"",R83&lt;&gt;"",W83&lt;&gt;"",AB83&lt;&gt;""),B82+1,"")</f>
        <v>2</v>
      </c>
      <c r="C83" s="289"/>
      <c r="D83" s="284" t="s">
        <v>178</v>
      </c>
      <c r="E83" s="285"/>
      <c r="F83" s="285"/>
      <c r="G83" s="285"/>
      <c r="H83" s="285"/>
      <c r="I83" s="285"/>
      <c r="J83" s="286"/>
      <c r="K83" s="286"/>
      <c r="L83" s="287"/>
      <c r="M83" s="297" t="s">
        <v>199</v>
      </c>
      <c r="N83" s="286"/>
      <c r="O83" s="286"/>
      <c r="P83" s="286"/>
      <c r="Q83" s="286"/>
      <c r="R83" s="284" t="s">
        <v>193</v>
      </c>
      <c r="S83" s="285"/>
      <c r="T83" s="285"/>
      <c r="U83" s="285"/>
      <c r="V83" s="290"/>
      <c r="W83" s="295" t="s">
        <v>18</v>
      </c>
      <c r="X83" s="296"/>
      <c r="Y83" s="296"/>
      <c r="Z83" s="296"/>
      <c r="AA83" s="296"/>
      <c r="AB83" s="298" t="s">
        <v>196</v>
      </c>
      <c r="AC83" s="299"/>
      <c r="AD83" s="299"/>
      <c r="AE83" s="299"/>
      <c r="AF83" s="299"/>
      <c r="AG83" s="286"/>
      <c r="AH83" s="287"/>
      <c r="AM83" s="67"/>
    </row>
    <row r="84" spans="1:39" ht="12" customHeight="1" x14ac:dyDescent="0.15">
      <c r="A84" s="66"/>
      <c r="B84" s="288">
        <f t="shared" si="2"/>
        <v>3</v>
      </c>
      <c r="C84" s="289"/>
      <c r="D84" s="123" t="s">
        <v>179</v>
      </c>
      <c r="E84" s="124"/>
      <c r="F84" s="124"/>
      <c r="G84" s="124"/>
      <c r="H84" s="124"/>
      <c r="I84" s="124"/>
      <c r="J84" s="125"/>
      <c r="K84" s="125"/>
      <c r="L84" s="126"/>
      <c r="M84" s="297" t="s">
        <v>199</v>
      </c>
      <c r="N84" s="286"/>
      <c r="O84" s="286"/>
      <c r="P84" s="286"/>
      <c r="Q84" s="286"/>
      <c r="R84" s="284" t="s">
        <v>193</v>
      </c>
      <c r="S84" s="285"/>
      <c r="T84" s="285"/>
      <c r="U84" s="285"/>
      <c r="V84" s="290"/>
      <c r="W84" s="295" t="s">
        <v>18</v>
      </c>
      <c r="X84" s="296"/>
      <c r="Y84" s="296"/>
      <c r="Z84" s="296"/>
      <c r="AA84" s="296"/>
      <c r="AB84" s="298" t="s">
        <v>196</v>
      </c>
      <c r="AC84" s="299"/>
      <c r="AD84" s="299"/>
      <c r="AE84" s="299"/>
      <c r="AF84" s="299"/>
      <c r="AG84" s="286"/>
      <c r="AH84" s="287"/>
      <c r="AM84" s="67"/>
    </row>
    <row r="85" spans="1:39" ht="12" customHeight="1" x14ac:dyDescent="0.15">
      <c r="A85" s="66"/>
      <c r="B85" s="288">
        <f t="shared" si="2"/>
        <v>4</v>
      </c>
      <c r="C85" s="289"/>
      <c r="D85" s="123" t="s">
        <v>180</v>
      </c>
      <c r="E85" s="124"/>
      <c r="F85" s="124"/>
      <c r="G85" s="124"/>
      <c r="H85" s="124"/>
      <c r="I85" s="124"/>
      <c r="J85" s="125"/>
      <c r="K85" s="125"/>
      <c r="L85" s="126"/>
      <c r="M85" s="297" t="s">
        <v>199</v>
      </c>
      <c r="N85" s="286"/>
      <c r="O85" s="286"/>
      <c r="P85" s="286"/>
      <c r="Q85" s="286"/>
      <c r="R85" s="298" t="s">
        <v>18</v>
      </c>
      <c r="S85" s="299"/>
      <c r="T85" s="299"/>
      <c r="U85" s="299"/>
      <c r="V85" s="300"/>
      <c r="W85" s="295" t="s">
        <v>18</v>
      </c>
      <c r="X85" s="296"/>
      <c r="Y85" s="296"/>
      <c r="Z85" s="296"/>
      <c r="AA85" s="296"/>
      <c r="AB85" s="298" t="s">
        <v>197</v>
      </c>
      <c r="AC85" s="299"/>
      <c r="AD85" s="299"/>
      <c r="AE85" s="299"/>
      <c r="AF85" s="299"/>
      <c r="AG85" s="286"/>
      <c r="AH85" s="287"/>
      <c r="AM85" s="67"/>
    </row>
    <row r="86" spans="1:39" ht="12" customHeight="1" x14ac:dyDescent="0.15">
      <c r="A86" s="66"/>
      <c r="B86" s="288">
        <f t="shared" si="2"/>
        <v>5</v>
      </c>
      <c r="C86" s="289"/>
      <c r="D86" s="123" t="s">
        <v>181</v>
      </c>
      <c r="E86" s="124"/>
      <c r="F86" s="124"/>
      <c r="G86" s="124"/>
      <c r="H86" s="124"/>
      <c r="I86" s="124"/>
      <c r="J86" s="125"/>
      <c r="K86" s="125"/>
      <c r="L86" s="126"/>
      <c r="M86" s="297" t="s">
        <v>199</v>
      </c>
      <c r="N86" s="286"/>
      <c r="O86" s="286"/>
      <c r="P86" s="286"/>
      <c r="Q86" s="286"/>
      <c r="R86" s="298" t="s">
        <v>18</v>
      </c>
      <c r="S86" s="299"/>
      <c r="T86" s="299"/>
      <c r="U86" s="299"/>
      <c r="V86" s="300"/>
      <c r="W86" s="295" t="s">
        <v>18</v>
      </c>
      <c r="X86" s="296"/>
      <c r="Y86" s="296"/>
      <c r="Z86" s="296"/>
      <c r="AA86" s="296"/>
      <c r="AB86" s="298" t="s">
        <v>198</v>
      </c>
      <c r="AC86" s="299"/>
      <c r="AD86" s="299"/>
      <c r="AE86" s="299"/>
      <c r="AF86" s="299"/>
      <c r="AG86" s="286"/>
      <c r="AH86" s="287"/>
      <c r="AM86" s="67"/>
    </row>
    <row r="87" spans="1:39" ht="12" customHeight="1" x14ac:dyDescent="0.15">
      <c r="A87" s="66"/>
      <c r="B87" s="288" t="str">
        <f t="shared" si="2"/>
        <v/>
      </c>
      <c r="C87" s="289"/>
      <c r="D87" s="284"/>
      <c r="E87" s="294"/>
      <c r="F87" s="294"/>
      <c r="G87" s="294"/>
      <c r="H87" s="294"/>
      <c r="I87" s="294"/>
      <c r="J87" s="286"/>
      <c r="K87" s="286"/>
      <c r="L87" s="287"/>
      <c r="M87" s="291"/>
      <c r="N87" s="286"/>
      <c r="O87" s="286"/>
      <c r="P87" s="286"/>
      <c r="Q87" s="286"/>
      <c r="R87" s="284" t="s">
        <v>18</v>
      </c>
      <c r="S87" s="285"/>
      <c r="T87" s="285"/>
      <c r="U87" s="285"/>
      <c r="V87" s="290"/>
      <c r="W87" s="291"/>
      <c r="X87" s="292"/>
      <c r="Y87" s="292"/>
      <c r="Z87" s="292"/>
      <c r="AA87" s="293"/>
      <c r="AB87" s="284"/>
      <c r="AC87" s="285"/>
      <c r="AD87" s="285"/>
      <c r="AE87" s="285"/>
      <c r="AF87" s="285"/>
      <c r="AG87" s="286"/>
      <c r="AH87" s="287"/>
      <c r="AM87" s="67"/>
    </row>
    <row r="88" spans="1:39" ht="12" customHeight="1" x14ac:dyDescent="0.15">
      <c r="A88" s="66"/>
      <c r="B88" s="288" t="str">
        <f t="shared" si="2"/>
        <v/>
      </c>
      <c r="C88" s="289"/>
      <c r="D88" s="284"/>
      <c r="E88" s="294"/>
      <c r="F88" s="294"/>
      <c r="G88" s="294"/>
      <c r="H88" s="294"/>
      <c r="I88" s="294"/>
      <c r="J88" s="286"/>
      <c r="K88" s="286"/>
      <c r="L88" s="287"/>
      <c r="M88" s="291"/>
      <c r="N88" s="286"/>
      <c r="O88" s="286"/>
      <c r="P88" s="286"/>
      <c r="Q88" s="286"/>
      <c r="R88" s="284" t="s">
        <v>18</v>
      </c>
      <c r="S88" s="285"/>
      <c r="T88" s="285"/>
      <c r="U88" s="285"/>
      <c r="V88" s="290"/>
      <c r="W88" s="291"/>
      <c r="X88" s="292"/>
      <c r="Y88" s="292"/>
      <c r="Z88" s="292"/>
      <c r="AA88" s="293"/>
      <c r="AB88" s="284"/>
      <c r="AC88" s="285"/>
      <c r="AD88" s="285"/>
      <c r="AE88" s="285"/>
      <c r="AF88" s="285"/>
      <c r="AG88" s="286"/>
      <c r="AH88" s="287"/>
      <c r="AM88" s="67"/>
    </row>
    <row r="89" spans="1:39" ht="12" customHeight="1" x14ac:dyDescent="0.15">
      <c r="A89" s="66"/>
      <c r="B89" s="288" t="str">
        <f t="shared" si="2"/>
        <v/>
      </c>
      <c r="C89" s="289"/>
      <c r="D89" s="284"/>
      <c r="E89" s="294"/>
      <c r="F89" s="294"/>
      <c r="G89" s="294"/>
      <c r="H89" s="294"/>
      <c r="I89" s="294"/>
      <c r="J89" s="286"/>
      <c r="K89" s="286"/>
      <c r="L89" s="287"/>
      <c r="M89" s="291"/>
      <c r="N89" s="286"/>
      <c r="O89" s="286"/>
      <c r="P89" s="286"/>
      <c r="Q89" s="286"/>
      <c r="R89" s="284" t="s">
        <v>18</v>
      </c>
      <c r="S89" s="285"/>
      <c r="T89" s="285"/>
      <c r="U89" s="285"/>
      <c r="V89" s="290"/>
      <c r="W89" s="291"/>
      <c r="X89" s="292"/>
      <c r="Y89" s="292"/>
      <c r="Z89" s="292"/>
      <c r="AA89" s="293"/>
      <c r="AB89" s="284"/>
      <c r="AC89" s="285"/>
      <c r="AD89" s="285"/>
      <c r="AE89" s="285"/>
      <c r="AF89" s="285"/>
      <c r="AG89" s="286"/>
      <c r="AH89" s="287"/>
      <c r="AM89" s="67"/>
    </row>
    <row r="90" spans="1:39" ht="12" customHeight="1" x14ac:dyDescent="0.15">
      <c r="A90" s="66"/>
      <c r="B90" s="288" t="str">
        <f t="shared" si="2"/>
        <v/>
      </c>
      <c r="C90" s="289"/>
      <c r="D90" s="284"/>
      <c r="E90" s="294"/>
      <c r="F90" s="294"/>
      <c r="G90" s="294"/>
      <c r="H90" s="294"/>
      <c r="I90" s="294"/>
      <c r="J90" s="286"/>
      <c r="K90" s="286"/>
      <c r="L90" s="287"/>
      <c r="M90" s="291"/>
      <c r="N90" s="286"/>
      <c r="O90" s="286"/>
      <c r="P90" s="286"/>
      <c r="Q90" s="286"/>
      <c r="R90" s="284" t="s">
        <v>18</v>
      </c>
      <c r="S90" s="285"/>
      <c r="T90" s="285"/>
      <c r="U90" s="285"/>
      <c r="V90" s="290"/>
      <c r="W90" s="291"/>
      <c r="X90" s="292"/>
      <c r="Y90" s="292"/>
      <c r="Z90" s="292"/>
      <c r="AA90" s="293"/>
      <c r="AB90" s="284"/>
      <c r="AC90" s="285"/>
      <c r="AD90" s="285"/>
      <c r="AE90" s="285"/>
      <c r="AF90" s="285"/>
      <c r="AG90" s="286"/>
      <c r="AH90" s="287"/>
      <c r="AM90" s="67"/>
    </row>
    <row r="91" spans="1:39" ht="12" customHeight="1" x14ac:dyDescent="0.15">
      <c r="A91" s="66"/>
      <c r="B91" s="288" t="str">
        <f t="shared" si="2"/>
        <v/>
      </c>
      <c r="C91" s="289"/>
      <c r="D91" s="284"/>
      <c r="E91" s="294"/>
      <c r="F91" s="294"/>
      <c r="G91" s="294"/>
      <c r="H91" s="294"/>
      <c r="I91" s="294"/>
      <c r="J91" s="286"/>
      <c r="K91" s="286"/>
      <c r="L91" s="287"/>
      <c r="M91" s="291"/>
      <c r="N91" s="286"/>
      <c r="O91" s="286"/>
      <c r="P91" s="286"/>
      <c r="Q91" s="286"/>
      <c r="R91" s="284" t="s">
        <v>18</v>
      </c>
      <c r="S91" s="285"/>
      <c r="T91" s="285"/>
      <c r="U91" s="285"/>
      <c r="V91" s="290"/>
      <c r="W91" s="291"/>
      <c r="X91" s="292"/>
      <c r="Y91" s="292"/>
      <c r="Z91" s="292"/>
      <c r="AA91" s="293"/>
      <c r="AB91" s="284"/>
      <c r="AC91" s="285"/>
      <c r="AD91" s="285"/>
      <c r="AE91" s="285"/>
      <c r="AF91" s="285"/>
      <c r="AG91" s="286"/>
      <c r="AH91" s="287"/>
      <c r="AM91" s="67"/>
    </row>
    <row r="92" spans="1:39" ht="12" customHeight="1" x14ac:dyDescent="0.15">
      <c r="A92" s="66"/>
      <c r="B92" s="288" t="str">
        <f t="shared" si="2"/>
        <v/>
      </c>
      <c r="C92" s="289"/>
      <c r="D92" s="284"/>
      <c r="E92" s="294"/>
      <c r="F92" s="294"/>
      <c r="G92" s="294"/>
      <c r="H92" s="294"/>
      <c r="I92" s="294"/>
      <c r="J92" s="286"/>
      <c r="K92" s="286"/>
      <c r="L92" s="287"/>
      <c r="M92" s="291"/>
      <c r="N92" s="286"/>
      <c r="O92" s="286"/>
      <c r="P92" s="286"/>
      <c r="Q92" s="286"/>
      <c r="R92" s="284" t="s">
        <v>18</v>
      </c>
      <c r="S92" s="285"/>
      <c r="T92" s="285"/>
      <c r="U92" s="285"/>
      <c r="V92" s="290"/>
      <c r="W92" s="291"/>
      <c r="X92" s="292"/>
      <c r="Y92" s="292"/>
      <c r="Z92" s="292"/>
      <c r="AA92" s="293"/>
      <c r="AB92" s="284"/>
      <c r="AC92" s="285"/>
      <c r="AD92" s="285"/>
      <c r="AE92" s="285"/>
      <c r="AF92" s="285"/>
      <c r="AG92" s="286"/>
      <c r="AH92" s="287"/>
      <c r="AM92" s="67"/>
    </row>
    <row r="93" spans="1:39" ht="12" customHeight="1" x14ac:dyDescent="0.15">
      <c r="A93" s="66"/>
      <c r="B93" s="120">
        <v>-2</v>
      </c>
      <c r="C93" s="120">
        <v>-1</v>
      </c>
      <c r="D93" s="120">
        <v>0</v>
      </c>
      <c r="E93" s="120">
        <v>1</v>
      </c>
      <c r="F93" s="120">
        <v>2</v>
      </c>
      <c r="G93" s="120">
        <v>3</v>
      </c>
      <c r="H93" s="120">
        <v>4</v>
      </c>
      <c r="I93" s="120">
        <v>5</v>
      </c>
      <c r="J93" s="120">
        <v>6</v>
      </c>
      <c r="K93" s="120">
        <v>7</v>
      </c>
      <c r="L93" s="120">
        <v>8</v>
      </c>
      <c r="M93" s="120">
        <v>9</v>
      </c>
      <c r="N93" s="120">
        <v>10</v>
      </c>
      <c r="O93" s="120">
        <v>11</v>
      </c>
      <c r="P93" s="120">
        <v>12</v>
      </c>
      <c r="Q93" s="120">
        <v>13</v>
      </c>
      <c r="R93" s="120">
        <v>14</v>
      </c>
      <c r="S93" s="120">
        <v>15</v>
      </c>
      <c r="T93" s="120">
        <v>16</v>
      </c>
      <c r="U93" s="120">
        <v>17</v>
      </c>
      <c r="V93" s="120">
        <v>18</v>
      </c>
      <c r="W93" s="120">
        <v>19</v>
      </c>
      <c r="X93" s="120">
        <v>20</v>
      </c>
      <c r="Y93" s="121">
        <v>21</v>
      </c>
      <c r="Z93" s="121">
        <v>22</v>
      </c>
      <c r="AA93" s="121">
        <v>23</v>
      </c>
      <c r="AB93" s="121">
        <v>24</v>
      </c>
      <c r="AC93" s="121">
        <v>25</v>
      </c>
      <c r="AD93" s="121">
        <v>26</v>
      </c>
      <c r="AE93" s="120">
        <v>27</v>
      </c>
      <c r="AF93" s="120">
        <v>28</v>
      </c>
      <c r="AG93" s="120">
        <v>29</v>
      </c>
      <c r="AH93" s="120">
        <v>30</v>
      </c>
      <c r="AM93" s="67"/>
    </row>
    <row r="94" spans="1:39" ht="12" customHeight="1" x14ac:dyDescent="0.15">
      <c r="A94" s="66"/>
      <c r="AM94" s="67"/>
    </row>
    <row r="95" spans="1:39" ht="12" customHeight="1" x14ac:dyDescent="0.15">
      <c r="A95" s="66"/>
      <c r="AM95" s="67"/>
    </row>
    <row r="96" spans="1:39" ht="12" customHeight="1" x14ac:dyDescent="0.15">
      <c r="A96" s="66"/>
      <c r="AM96" s="67"/>
    </row>
    <row r="97" spans="1:39" ht="12" customHeight="1" x14ac:dyDescent="0.15">
      <c r="A97" s="66"/>
      <c r="AM97" s="67"/>
    </row>
    <row r="98" spans="1:39" ht="12" customHeight="1" x14ac:dyDescent="0.15">
      <c r="A98" s="66"/>
      <c r="AM98" s="67"/>
    </row>
    <row r="99" spans="1:39" ht="12" customHeight="1" x14ac:dyDescent="0.15">
      <c r="A99" s="66"/>
      <c r="AM99" s="67"/>
    </row>
    <row r="100" spans="1:39" ht="12" customHeight="1" x14ac:dyDescent="0.15">
      <c r="A100" s="66"/>
      <c r="AM100" s="67"/>
    </row>
    <row r="101" spans="1:39" ht="12" customHeight="1" x14ac:dyDescent="0.15">
      <c r="A101" s="66"/>
      <c r="AM101" s="67"/>
    </row>
    <row r="102" spans="1:39" ht="12" customHeight="1" x14ac:dyDescent="0.15">
      <c r="A102" s="66"/>
      <c r="AM102" s="67"/>
    </row>
    <row r="103" spans="1:39" ht="12" customHeight="1" x14ac:dyDescent="0.15">
      <c r="A103" s="66"/>
      <c r="AM103" s="67"/>
    </row>
    <row r="104" spans="1:39" ht="12" customHeight="1" x14ac:dyDescent="0.15">
      <c r="A104" s="66"/>
      <c r="AM104" s="67"/>
    </row>
    <row r="105" spans="1:39" ht="12" customHeight="1" x14ac:dyDescent="0.15">
      <c r="A105" s="66"/>
      <c r="AM105" s="67"/>
    </row>
    <row r="106" spans="1:39" ht="12" customHeight="1" x14ac:dyDescent="0.15">
      <c r="A106" s="66"/>
      <c r="AM106" s="67"/>
    </row>
    <row r="107" spans="1:39" ht="12" customHeight="1" x14ac:dyDescent="0.15">
      <c r="A107" s="66"/>
      <c r="AM107" s="67"/>
    </row>
    <row r="108" spans="1:39" ht="12" customHeight="1" x14ac:dyDescent="0.15">
      <c r="A108" s="66"/>
      <c r="AM108" s="67"/>
    </row>
    <row r="109" spans="1:39" ht="12" customHeight="1" x14ac:dyDescent="0.15">
      <c r="A109" s="66"/>
      <c r="AM109" s="67"/>
    </row>
    <row r="110" spans="1:39" ht="12" customHeight="1" x14ac:dyDescent="0.15">
      <c r="A110" s="66"/>
      <c r="AM110" s="67"/>
    </row>
    <row r="111" spans="1:39" ht="12" customHeight="1" x14ac:dyDescent="0.15">
      <c r="A111" s="66"/>
      <c r="AM111" s="67"/>
    </row>
    <row r="112" spans="1:39" ht="12" customHeight="1" x14ac:dyDescent="0.15">
      <c r="A112" s="66"/>
      <c r="AM112" s="67"/>
    </row>
    <row r="113" spans="1:39" ht="12" customHeight="1" x14ac:dyDescent="0.15">
      <c r="A113" s="66"/>
      <c r="AM113" s="67"/>
    </row>
    <row r="114" spans="1:39" ht="12" customHeight="1" x14ac:dyDescent="0.15">
      <c r="A114" s="66"/>
      <c r="AM114" s="67"/>
    </row>
    <row r="115" spans="1:39" ht="12" customHeight="1" x14ac:dyDescent="0.15">
      <c r="A115" s="66"/>
      <c r="AM115" s="67"/>
    </row>
    <row r="116" spans="1:39" ht="12" customHeight="1" x14ac:dyDescent="0.15">
      <c r="A116" s="66"/>
      <c r="AM116" s="67"/>
    </row>
    <row r="117" spans="1:39" ht="12" customHeight="1" x14ac:dyDescent="0.15">
      <c r="A117" s="66"/>
      <c r="AM117" s="67"/>
    </row>
    <row r="118" spans="1:39" ht="12" customHeight="1" x14ac:dyDescent="0.15">
      <c r="A118" s="71"/>
      <c r="B118" s="72"/>
      <c r="C118" s="72"/>
      <c r="D118" s="72"/>
      <c r="E118" s="72"/>
      <c r="F118" s="72"/>
      <c r="G118" s="72"/>
      <c r="H118" s="72"/>
      <c r="I118" s="72"/>
      <c r="J118" s="72"/>
      <c r="K118" s="72"/>
      <c r="L118" s="72"/>
      <c r="M118" s="72"/>
      <c r="N118" s="72"/>
      <c r="O118" s="72"/>
      <c r="P118" s="72"/>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3"/>
    </row>
  </sheetData>
  <mergeCells count="319">
    <mergeCell ref="BP51:BT51"/>
    <mergeCell ref="BP52:BT52"/>
    <mergeCell ref="BP58:BT58"/>
    <mergeCell ref="AI48:AL48"/>
    <mergeCell ref="AI49:AL49"/>
    <mergeCell ref="AI50:AL50"/>
    <mergeCell ref="AI51:AL51"/>
    <mergeCell ref="AI52:AL52"/>
    <mergeCell ref="AI53:AL53"/>
    <mergeCell ref="AO48:AR48"/>
    <mergeCell ref="AO49:AR49"/>
    <mergeCell ref="BD48:BH48"/>
    <mergeCell ref="BD49:BH49"/>
    <mergeCell ref="BP53:BT53"/>
    <mergeCell ref="BP54:BT54"/>
    <mergeCell ref="BP56:BT56"/>
    <mergeCell ref="BP57:BT57"/>
    <mergeCell ref="BP55:BT55"/>
    <mergeCell ref="X44:AB44"/>
    <mergeCell ref="X43:AB43"/>
    <mergeCell ref="X38:AB38"/>
    <mergeCell ref="X39:AB39"/>
    <mergeCell ref="X40:AB40"/>
    <mergeCell ref="X26:AB26"/>
    <mergeCell ref="X27:AB27"/>
    <mergeCell ref="X28:AB28"/>
    <mergeCell ref="X33:AB33"/>
    <mergeCell ref="X41:AB41"/>
    <mergeCell ref="X29:AB29"/>
    <mergeCell ref="X30:AB30"/>
    <mergeCell ref="X31:AB31"/>
    <mergeCell ref="X36:AB36"/>
    <mergeCell ref="X37:AB37"/>
    <mergeCell ref="K8:O8"/>
    <mergeCell ref="T50:X50"/>
    <mergeCell ref="M50:S50"/>
    <mergeCell ref="B3:E3"/>
    <mergeCell ref="G3:X3"/>
    <mergeCell ref="Y3:AA3"/>
    <mergeCell ref="AC3:AE3"/>
    <mergeCell ref="AF3:AI3"/>
    <mergeCell ref="B1:E1"/>
    <mergeCell ref="G1:X1"/>
    <mergeCell ref="Y1:AA1"/>
    <mergeCell ref="B4:E4"/>
    <mergeCell ref="G4:X4"/>
    <mergeCell ref="Y4:AE4"/>
    <mergeCell ref="B2:E2"/>
    <mergeCell ref="G2:X2"/>
    <mergeCell ref="Y2:AA2"/>
    <mergeCell ref="AC2:AE2"/>
    <mergeCell ref="AF4:AI4"/>
    <mergeCell ref="Y49:AC49"/>
    <mergeCell ref="AD50:AH50"/>
    <mergeCell ref="G46:L46"/>
    <mergeCell ref="D8:H8"/>
    <mergeCell ref="R8:V8"/>
    <mergeCell ref="AJ4:AM4"/>
    <mergeCell ref="X32:AB32"/>
    <mergeCell ref="X34:AB34"/>
    <mergeCell ref="AC1:AE1"/>
    <mergeCell ref="AF1:AM1"/>
    <mergeCell ref="AJ2:AM2"/>
    <mergeCell ref="AJ3:AM3"/>
    <mergeCell ref="X17:AB17"/>
    <mergeCell ref="X11:AB11"/>
    <mergeCell ref="X12:AB12"/>
    <mergeCell ref="X13:AB13"/>
    <mergeCell ref="X15:AB15"/>
    <mergeCell ref="X16:AB16"/>
    <mergeCell ref="X18:AB18"/>
    <mergeCell ref="X25:AB25"/>
    <mergeCell ref="AF2:AI2"/>
    <mergeCell ref="X20:AB20"/>
    <mergeCell ref="X21:AB21"/>
    <mergeCell ref="X23:AB23"/>
    <mergeCell ref="X24:AB24"/>
    <mergeCell ref="X19:AB19"/>
    <mergeCell ref="X22:AB22"/>
    <mergeCell ref="AD48:AH48"/>
    <mergeCell ref="T48:X48"/>
    <mergeCell ref="B49:C49"/>
    <mergeCell ref="D49:I49"/>
    <mergeCell ref="J49:L49"/>
    <mergeCell ref="T49:X49"/>
    <mergeCell ref="AD49:AH49"/>
    <mergeCell ref="B48:C48"/>
    <mergeCell ref="D48:I48"/>
    <mergeCell ref="J48:L48"/>
    <mergeCell ref="M48:S48"/>
    <mergeCell ref="M49:S49"/>
    <mergeCell ref="Y48:AC48"/>
    <mergeCell ref="AO59:AR59"/>
    <mergeCell ref="T56:X56"/>
    <mergeCell ref="AD56:AH56"/>
    <mergeCell ref="AD58:AH58"/>
    <mergeCell ref="AO56:AR56"/>
    <mergeCell ref="AO57:AR57"/>
    <mergeCell ref="AD55:AH55"/>
    <mergeCell ref="J50:L50"/>
    <mergeCell ref="B51:C51"/>
    <mergeCell ref="D51:I51"/>
    <mergeCell ref="J51:L51"/>
    <mergeCell ref="T51:X51"/>
    <mergeCell ref="AD51:AH51"/>
    <mergeCell ref="B50:C50"/>
    <mergeCell ref="D50:I50"/>
    <mergeCell ref="M51:S51"/>
    <mergeCell ref="Y50:AC50"/>
    <mergeCell ref="Y51:AC51"/>
    <mergeCell ref="AI54:AL54"/>
    <mergeCell ref="AI55:AL55"/>
    <mergeCell ref="AI56:AL56"/>
    <mergeCell ref="AI57:AL57"/>
    <mergeCell ref="AI58:AL58"/>
    <mergeCell ref="AI59:AL59"/>
    <mergeCell ref="AD57:AH57"/>
    <mergeCell ref="AO54:AR54"/>
    <mergeCell ref="D54:I54"/>
    <mergeCell ref="J54:L54"/>
    <mergeCell ref="T54:X54"/>
    <mergeCell ref="M54:S54"/>
    <mergeCell ref="AO50:AR50"/>
    <mergeCell ref="AO51:AR51"/>
    <mergeCell ref="AO58:AR58"/>
    <mergeCell ref="AO55:AR55"/>
    <mergeCell ref="AD52:AH52"/>
    <mergeCell ref="AO52:AR52"/>
    <mergeCell ref="AO53:AR53"/>
    <mergeCell ref="AD54:AH54"/>
    <mergeCell ref="Y54:AC54"/>
    <mergeCell ref="J55:L55"/>
    <mergeCell ref="T55:X55"/>
    <mergeCell ref="B53:C53"/>
    <mergeCell ref="D53:I53"/>
    <mergeCell ref="J53:L53"/>
    <mergeCell ref="T53:X53"/>
    <mergeCell ref="AD53:AH53"/>
    <mergeCell ref="B52:C52"/>
    <mergeCell ref="D52:I52"/>
    <mergeCell ref="J52:L52"/>
    <mergeCell ref="T52:X52"/>
    <mergeCell ref="M52:S52"/>
    <mergeCell ref="M53:S53"/>
    <mergeCell ref="Y52:AC52"/>
    <mergeCell ref="Y53:AC53"/>
    <mergeCell ref="AD59:AH59"/>
    <mergeCell ref="B58:C58"/>
    <mergeCell ref="D58:I58"/>
    <mergeCell ref="J58:L58"/>
    <mergeCell ref="T58:X58"/>
    <mergeCell ref="M58:S58"/>
    <mergeCell ref="M59:S59"/>
    <mergeCell ref="Y58:AC58"/>
    <mergeCell ref="Y59:AC59"/>
    <mergeCell ref="B54:C54"/>
    <mergeCell ref="B57:C57"/>
    <mergeCell ref="D57:I57"/>
    <mergeCell ref="J57:L57"/>
    <mergeCell ref="T57:X57"/>
    <mergeCell ref="B65:C65"/>
    <mergeCell ref="M65:S65"/>
    <mergeCell ref="T65:X65"/>
    <mergeCell ref="Y65:AC65"/>
    <mergeCell ref="B55:C55"/>
    <mergeCell ref="B59:C59"/>
    <mergeCell ref="D59:I59"/>
    <mergeCell ref="J59:L59"/>
    <mergeCell ref="T59:X59"/>
    <mergeCell ref="B56:C56"/>
    <mergeCell ref="D56:I56"/>
    <mergeCell ref="J56:L56"/>
    <mergeCell ref="M56:S56"/>
    <mergeCell ref="M57:S57"/>
    <mergeCell ref="Y56:AC56"/>
    <mergeCell ref="Y57:AC57"/>
    <mergeCell ref="M55:S55"/>
    <mergeCell ref="Y55:AC55"/>
    <mergeCell ref="D55:I55"/>
    <mergeCell ref="AD65:AH65"/>
    <mergeCell ref="B66:C66"/>
    <mergeCell ref="M66:S66"/>
    <mergeCell ref="T66:X66"/>
    <mergeCell ref="Y66:AC66"/>
    <mergeCell ref="AD66:AH66"/>
    <mergeCell ref="D65:L65"/>
    <mergeCell ref="D66:L66"/>
    <mergeCell ref="B67:C67"/>
    <mergeCell ref="M67:S67"/>
    <mergeCell ref="T67:X67"/>
    <mergeCell ref="Y67:AC67"/>
    <mergeCell ref="AD67:AH67"/>
    <mergeCell ref="B68:C68"/>
    <mergeCell ref="M68:S68"/>
    <mergeCell ref="T68:X68"/>
    <mergeCell ref="Y68:AC68"/>
    <mergeCell ref="AD68:AH68"/>
    <mergeCell ref="D67:L67"/>
    <mergeCell ref="D68:L68"/>
    <mergeCell ref="B69:C69"/>
    <mergeCell ref="M69:S69"/>
    <mergeCell ref="T69:X69"/>
    <mergeCell ref="Y69:AC69"/>
    <mergeCell ref="AD69:AH69"/>
    <mergeCell ref="B70:C70"/>
    <mergeCell ref="M70:S70"/>
    <mergeCell ref="T70:X70"/>
    <mergeCell ref="Y70:AC70"/>
    <mergeCell ref="AD70:AH70"/>
    <mergeCell ref="D69:L69"/>
    <mergeCell ref="D70:L70"/>
    <mergeCell ref="B71:C71"/>
    <mergeCell ref="M71:S71"/>
    <mergeCell ref="T71:X71"/>
    <mergeCell ref="Y71:AC71"/>
    <mergeCell ref="AD71:AH71"/>
    <mergeCell ref="B72:C72"/>
    <mergeCell ref="M72:S72"/>
    <mergeCell ref="T72:X72"/>
    <mergeCell ref="Y72:AC72"/>
    <mergeCell ref="AD72:AH72"/>
    <mergeCell ref="D71:L71"/>
    <mergeCell ref="D72:L72"/>
    <mergeCell ref="B73:C73"/>
    <mergeCell ref="M73:S73"/>
    <mergeCell ref="T73:X73"/>
    <mergeCell ref="Y73:AC73"/>
    <mergeCell ref="AD73:AH73"/>
    <mergeCell ref="B74:C74"/>
    <mergeCell ref="M74:S74"/>
    <mergeCell ref="T74:X74"/>
    <mergeCell ref="Y74:AC74"/>
    <mergeCell ref="AD74:AH74"/>
    <mergeCell ref="D73:L73"/>
    <mergeCell ref="D74:L74"/>
    <mergeCell ref="B75:C75"/>
    <mergeCell ref="M75:S75"/>
    <mergeCell ref="T75:X75"/>
    <mergeCell ref="Y75:AC75"/>
    <mergeCell ref="AD75:AH75"/>
    <mergeCell ref="B76:C76"/>
    <mergeCell ref="M76:S76"/>
    <mergeCell ref="T76:X76"/>
    <mergeCell ref="Y76:AC76"/>
    <mergeCell ref="AD76:AH76"/>
    <mergeCell ref="D75:L75"/>
    <mergeCell ref="D76:L76"/>
    <mergeCell ref="AB83:AH83"/>
    <mergeCell ref="AB84:AH84"/>
    <mergeCell ref="B81:C81"/>
    <mergeCell ref="R81:V81"/>
    <mergeCell ref="W81:AA81"/>
    <mergeCell ref="B82:C82"/>
    <mergeCell ref="R82:V82"/>
    <mergeCell ref="W82:AA82"/>
    <mergeCell ref="D81:L81"/>
    <mergeCell ref="D82:L82"/>
    <mergeCell ref="M81:Q81"/>
    <mergeCell ref="M82:Q82"/>
    <mergeCell ref="AB81:AH81"/>
    <mergeCell ref="AB82:AH82"/>
    <mergeCell ref="B83:C83"/>
    <mergeCell ref="R83:V83"/>
    <mergeCell ref="W83:AA83"/>
    <mergeCell ref="AB87:AH87"/>
    <mergeCell ref="AB88:AH88"/>
    <mergeCell ref="B85:C85"/>
    <mergeCell ref="R85:V85"/>
    <mergeCell ref="W85:AA85"/>
    <mergeCell ref="B86:C86"/>
    <mergeCell ref="R86:V86"/>
    <mergeCell ref="W86:AA86"/>
    <mergeCell ref="M85:Q85"/>
    <mergeCell ref="M86:Q86"/>
    <mergeCell ref="AB85:AH85"/>
    <mergeCell ref="AB86:AH86"/>
    <mergeCell ref="B87:C87"/>
    <mergeCell ref="R87:V87"/>
    <mergeCell ref="W87:AA87"/>
    <mergeCell ref="B88:C88"/>
    <mergeCell ref="R88:V88"/>
    <mergeCell ref="W88:AA88"/>
    <mergeCell ref="D88:L88"/>
    <mergeCell ref="M87:Q87"/>
    <mergeCell ref="M88:Q88"/>
    <mergeCell ref="R90:V90"/>
    <mergeCell ref="W90:AA90"/>
    <mergeCell ref="D89:L89"/>
    <mergeCell ref="D90:L90"/>
    <mergeCell ref="M89:Q89"/>
    <mergeCell ref="M90:Q90"/>
    <mergeCell ref="D87:L87"/>
    <mergeCell ref="D83:L83"/>
    <mergeCell ref="M83:Q83"/>
    <mergeCell ref="M84:Q84"/>
    <mergeCell ref="BP62:BT62"/>
    <mergeCell ref="BP60:BT60"/>
    <mergeCell ref="BP59:BT59"/>
    <mergeCell ref="AB91:AH91"/>
    <mergeCell ref="AB92:AH92"/>
    <mergeCell ref="AB89:AH89"/>
    <mergeCell ref="AB90:AH90"/>
    <mergeCell ref="B91:C91"/>
    <mergeCell ref="R91:V91"/>
    <mergeCell ref="W91:AA91"/>
    <mergeCell ref="B92:C92"/>
    <mergeCell ref="R92:V92"/>
    <mergeCell ref="W92:AA92"/>
    <mergeCell ref="D91:L91"/>
    <mergeCell ref="D92:L92"/>
    <mergeCell ref="M91:Q91"/>
    <mergeCell ref="M92:Q92"/>
    <mergeCell ref="B84:C84"/>
    <mergeCell ref="R84:V84"/>
    <mergeCell ref="W84:AA84"/>
    <mergeCell ref="B89:C89"/>
    <mergeCell ref="R89:V89"/>
    <mergeCell ref="W89:AA89"/>
    <mergeCell ref="B90:C90"/>
  </mergeCells>
  <dataValidations count="20">
    <dataValidation type="whole" allowBlank="1" showInputMessage="1" showErrorMessage="1" errorTitle="Invalid entry" error="Value shall be between 30° and 60°." sqref="X12:AB12">
      <formula1>30</formula1>
      <formula2>60</formula2>
    </dataValidation>
    <dataValidation type="decimal" allowBlank="1" showInputMessage="1" showErrorMessage="1" errorTitle="Invalid entry" error="The value shall be between -179° to 180°." sqref="X13:AB13">
      <formula1>-179</formula1>
      <formula2>180</formula2>
    </dataValidation>
    <dataValidation type="whole" allowBlank="1" showInputMessage="1" showErrorMessage="1" errorTitle="Invalid entry" error="The value shall be between 8 and 40 and use only even numbers." sqref="X15:AB15">
      <formula1>8</formula1>
      <formula2>40</formula2>
    </dataValidation>
    <dataValidation type="whole" allowBlank="1" showInputMessage="1" showErrorMessage="1" errorTitle="Invalid Entry" error="The value shall be between 1 and 10." sqref="X16:AB16">
      <formula1>1</formula1>
      <formula2>10</formula2>
    </dataValidation>
    <dataValidation type="decimal" operator="greaterThanOrEqual" allowBlank="1" showInputMessage="1" showErrorMessage="1" errorTitle="Invalid entry" error="This value shall be greater than or equal to zero." sqref="X29:AB30 X23:AB24 X17:AB20 BP52:BT60">
      <formula1>0</formula1>
    </dataValidation>
    <dataValidation type="decimal" operator="greaterThan" allowBlank="1" showInputMessage="1" showErrorMessage="1" errorTitle="Invalid entry" error="This value shall be greater than or equal to zero." sqref="X21:AB22">
      <formula1>0</formula1>
    </dataValidation>
    <dataValidation type="decimal" operator="greaterThan" allowBlank="1" showInputMessage="1" showErrorMessage="1" errorTitle="Invalid entry" error="This value shall be greater than zero." sqref="X25:AB25 X27:AB27 X36:AB40">
      <formula1>0</formula1>
    </dataValidation>
    <dataValidation type="decimal" allowBlank="1" showInputMessage="1" showErrorMessage="1" errorTitle="Invalid entry" error="This value shall be greater than or equal 1 and less than or equal to 4." sqref="X43:AB43">
      <formula1>1</formula1>
      <formula2>4</formula2>
    </dataValidation>
    <dataValidation type="decimal" allowBlank="1" showInputMessage="1" showErrorMessage="1" errorTitle="Not an optimum value for Plate" error="This value shall be greater than or equal 0.2 and less than or equal to 0.5." sqref="X44:AB44">
      <formula1>0.2</formula1>
      <formula2>0.5</formula2>
    </dataValidation>
    <dataValidation type="list" allowBlank="1" showInputMessage="1" showErrorMessage="1" sqref="G46:K46">
      <formula1>"User Defined,Program Generated"</formula1>
    </dataValidation>
    <dataValidation type="list" allowBlank="1" showInputMessage="1" showErrorMessage="1" sqref="AD49:AH59 T49:X59">
      <formula1>"Yes,No"</formula1>
    </dataValidation>
    <dataValidation type="list" allowBlank="1" showInputMessage="1" showErrorMessage="1" sqref="Y49:AC59 AI49:AI59">
      <formula1>"Continuous,Alternate,Skip 2 Bays,Skip 3 Bays,Skip 4 Bays"</formula1>
    </dataValidation>
    <dataValidation type="list" allowBlank="1" showInputMessage="1" showErrorMessage="1" sqref="AO49:AR59">
      <formula1>$BP$6:$BP$44</formula1>
    </dataValidation>
    <dataValidation type="list" allowBlank="1" showInputMessage="1" showErrorMessage="1" sqref="R82:V82">
      <formula1>"I Sections,C Sections,L Sections,CHS Sections,RHS Sections,SHS Sections,Solid"</formula1>
    </dataValidation>
    <dataValidation type="list" allowBlank="1" showInputMessage="1" showErrorMessage="1" sqref="R83:V92">
      <formula1>"I Sections,C Sections,L Sections,CHS Sections,RHS Sections,SHS Sections"</formula1>
    </dataValidation>
    <dataValidation type="list" allowBlank="1" showInputMessage="1" showErrorMessage="1" sqref="M66:S70">
      <formula1>"IS800-2007,IS2062,ASTM,EN10025-2-T7,EN10025-2-T8,EN10025-3,EN10025-4,EN10025-5,GBT1591-1994,GBT1591-2008"</formula1>
    </dataValidation>
    <dataValidation type="list" allowBlank="1" showInputMessage="1" showErrorMessage="1" sqref="M83:Q86">
      <formula1>"Indian,Japanese,European,Russian,US Metric,US Imperial,Chilean,British,Australian,Chinese"</formula1>
    </dataValidation>
    <dataValidation type="whole" allowBlank="1" showInputMessage="1" showErrorMessage="1" errorTitle="Invalid user input data" error="The value shall be between 3 and (3 times the number of radial beams)" sqref="X34:AB34">
      <formula1>3</formula1>
      <formula2>3*X15</formula2>
    </dataValidation>
    <dataValidation type="list" operator="greaterThanOrEqual" allowBlank="1" showInputMessage="1" showErrorMessage="1" errorTitle="Invalid entry" error="This value shall be greater than or equal to zero." sqref="BP62:BT62">
      <formula1>"Full Span,Half Span"</formula1>
    </dataValidation>
    <dataValidation type="decimal" allowBlank="1" showInputMessage="1" showErrorMessage="1" sqref="BP51:BT51">
      <formula1>0</formula1>
      <formula2>360</formula2>
    </dataValidation>
  </dataValidations>
  <printOptions horizontalCentered="1"/>
  <pageMargins left="0.31496062992125984" right="0.31496062992125984" top="0.55118110236220474" bottom="0.55118110236220474" header="0.31496062992125984" footer="0.31496062992125984"/>
  <pageSetup paperSize="9" fitToHeight="0" orientation="portrait" useFirstPageNumber="1" r:id="rId1"/>
  <headerFooter>
    <oddHeader>&amp;L&amp;"Tahoma,Regular"&amp;8&amp;K03+000User: Srinivasa Rao Masanam</oddHeader>
    <oddFooter>&amp;R&amp;"Tahoma,Regular"&amp;8&amp;K03+000Licensed to: VSquare Consulting Engineers</oddFooter>
  </headerFooter>
  <ignoredErrors>
    <ignoredError sqref="AO39:AO40" numberStoredAsText="1"/>
  </ignoredErrors>
  <drawing r:id="rId2"/>
  <legacyDrawing r:id="rId3"/>
  <controls>
    <mc:AlternateContent xmlns:mc="http://schemas.openxmlformats.org/markup-compatibility/2006">
      <mc:Choice Requires="x14">
        <control shapeId="3100" r:id="rId4" name="ckbCCStiffener">
          <controlPr autoLine="0" r:id="rId5">
            <anchor>
              <from>
                <xdr:col>29</xdr:col>
                <xdr:colOff>38100</xdr:colOff>
                <xdr:row>21</xdr:row>
                <xdr:rowOff>28575</xdr:rowOff>
              </from>
              <to>
                <xdr:col>36</xdr:col>
                <xdr:colOff>142875</xdr:colOff>
                <xdr:row>22</xdr:row>
                <xdr:rowOff>104775</xdr:rowOff>
              </to>
            </anchor>
          </controlPr>
        </control>
      </mc:Choice>
      <mc:Fallback>
        <control shapeId="3100" r:id="rId4" name="ckbCCStiffener"/>
      </mc:Fallback>
    </mc:AlternateContent>
    <mc:AlternateContent xmlns:mc="http://schemas.openxmlformats.org/markup-compatibility/2006">
      <mc:Choice Requires="x14">
        <control shapeId="3099" r:id="rId6" name="ckbCCTopCapPlate">
          <controlPr autoLine="0" r:id="rId7">
            <anchor>
              <from>
                <xdr:col>29</xdr:col>
                <xdr:colOff>38100</xdr:colOff>
                <xdr:row>19</xdr:row>
                <xdr:rowOff>142875</xdr:rowOff>
              </from>
              <to>
                <xdr:col>36</xdr:col>
                <xdr:colOff>142875</xdr:colOff>
                <xdr:row>21</xdr:row>
                <xdr:rowOff>66675</xdr:rowOff>
              </to>
            </anchor>
          </controlPr>
        </control>
      </mc:Choice>
      <mc:Fallback>
        <control shapeId="3099" r:id="rId6" name="ckbCCTopCapPlate"/>
      </mc:Fallback>
    </mc:AlternateContent>
    <mc:AlternateContent xmlns:mc="http://schemas.openxmlformats.org/markup-compatibility/2006">
      <mc:Choice Requires="x14">
        <control shapeId="3098" r:id="rId8" name="ckbCRStiffener">
          <controlPr autoLine="0" r:id="rId9">
            <anchor>
              <from>
                <xdr:col>29</xdr:col>
                <xdr:colOff>38100</xdr:colOff>
                <xdr:row>13</xdr:row>
                <xdr:rowOff>66675</xdr:rowOff>
              </from>
              <to>
                <xdr:col>37</xdr:col>
                <xdr:colOff>142875</xdr:colOff>
                <xdr:row>14</xdr:row>
                <xdr:rowOff>142875</xdr:rowOff>
              </to>
            </anchor>
          </controlPr>
        </control>
      </mc:Choice>
      <mc:Fallback>
        <control shapeId="3098" r:id="rId8" name="ckbCRStiffener"/>
      </mc:Fallback>
    </mc:AlternateContent>
    <mc:AlternateContent xmlns:mc="http://schemas.openxmlformats.org/markup-compatibility/2006">
      <mc:Choice Requires="x14">
        <control shapeId="3097" r:id="rId10" name="ckbCCBottom">
          <controlPr autoLine="0" r:id="rId11">
            <anchor>
              <from>
                <xdr:col>29</xdr:col>
                <xdr:colOff>38100</xdr:colOff>
                <xdr:row>14</xdr:row>
                <xdr:rowOff>123825</xdr:rowOff>
              </from>
              <to>
                <xdr:col>37</xdr:col>
                <xdr:colOff>142875</xdr:colOff>
                <xdr:row>16</xdr:row>
                <xdr:rowOff>47625</xdr:rowOff>
              </to>
            </anchor>
          </controlPr>
        </control>
      </mc:Choice>
      <mc:Fallback>
        <control shapeId="3097" r:id="rId10" name="ckbCCBottom"/>
      </mc:Fallback>
    </mc:AlternateContent>
    <mc:AlternateContent xmlns:mc="http://schemas.openxmlformats.org/markup-compatibility/2006">
      <mc:Choice Requires="x14">
        <control shapeId="3088" r:id="rId12" name="btnGenerateThickener">
          <controlPr autoLine="0" r:id="rId13">
            <anchor moveWithCells="1">
              <from>
                <xdr:col>31</xdr:col>
                <xdr:colOff>85725</xdr:colOff>
                <xdr:row>4</xdr:row>
                <xdr:rowOff>57150</xdr:rowOff>
              </from>
              <to>
                <xdr:col>38</xdr:col>
                <xdr:colOff>133350</xdr:colOff>
                <xdr:row>6</xdr:row>
                <xdr:rowOff>9525</xdr:rowOff>
              </to>
            </anchor>
          </controlPr>
        </control>
      </mc:Choice>
      <mc:Fallback>
        <control shapeId="3088" r:id="rId12" name="btnGenerateThickener"/>
      </mc:Fallback>
    </mc:AlternateContent>
    <mc:AlternateContent xmlns:mc="http://schemas.openxmlformats.org/markup-compatibility/2006">
      <mc:Choice Requires="x14">
        <control shapeId="3087" r:id="rId14" name="ckbCCTop">
          <controlPr autoLine="0" r:id="rId15">
            <anchor>
              <from>
                <xdr:col>29</xdr:col>
                <xdr:colOff>38100</xdr:colOff>
                <xdr:row>18</xdr:row>
                <xdr:rowOff>95250</xdr:rowOff>
              </from>
              <to>
                <xdr:col>37</xdr:col>
                <xdr:colOff>142875</xdr:colOff>
                <xdr:row>20</xdr:row>
                <xdr:rowOff>19050</xdr:rowOff>
              </to>
            </anchor>
          </controlPr>
        </control>
      </mc:Choice>
      <mc:Fallback>
        <control shapeId="3087" r:id="rId14" name="ckbCCTop"/>
      </mc:Fallback>
    </mc:AlternateContent>
    <mc:AlternateContent xmlns:mc="http://schemas.openxmlformats.org/markup-compatibility/2006">
      <mc:Choice Requires="x14">
        <control shapeId="3085" r:id="rId16" name="ckbCompressionRing">
          <controlPr autoLine="0" r:id="rId17">
            <anchor>
              <from>
                <xdr:col>29</xdr:col>
                <xdr:colOff>38100</xdr:colOff>
                <xdr:row>10</xdr:row>
                <xdr:rowOff>76200</xdr:rowOff>
              </from>
              <to>
                <xdr:col>37</xdr:col>
                <xdr:colOff>142875</xdr:colOff>
                <xdr:row>12</xdr:row>
                <xdr:rowOff>0</xdr:rowOff>
              </to>
            </anchor>
          </controlPr>
        </control>
      </mc:Choice>
      <mc:Fallback>
        <control shapeId="3085" r:id="rId16" name="ckbCompressionRing"/>
      </mc:Fallback>
    </mc:AlternateContent>
    <mc:AlternateContent xmlns:mc="http://schemas.openxmlformats.org/markup-compatibility/2006">
      <mc:Choice Requires="x14">
        <control shapeId="3084" r:id="rId18" name="ckbCRVerticalAnnulus">
          <controlPr autoLine="0" r:id="rId19">
            <anchor>
              <from>
                <xdr:col>29</xdr:col>
                <xdr:colOff>38100</xdr:colOff>
                <xdr:row>12</xdr:row>
                <xdr:rowOff>0</xdr:rowOff>
              </from>
              <to>
                <xdr:col>37</xdr:col>
                <xdr:colOff>142875</xdr:colOff>
                <xdr:row>13</xdr:row>
                <xdr:rowOff>76200</xdr:rowOff>
              </to>
            </anchor>
          </controlPr>
        </control>
      </mc:Choice>
      <mc:Fallback>
        <control shapeId="3084" r:id="rId18" name="ckbCRVerticalAnnulus"/>
      </mc:Fallback>
    </mc:AlternateContent>
    <mc:AlternateContent xmlns:mc="http://schemas.openxmlformats.org/markup-compatibility/2006">
      <mc:Choice Requires="x14">
        <control shapeId="3083" r:id="rId20" name="ckbCCBottomCapPlate">
          <controlPr disabled="1" autoLine="0" r:id="rId21">
            <anchor>
              <from>
                <xdr:col>29</xdr:col>
                <xdr:colOff>38100</xdr:colOff>
                <xdr:row>17</xdr:row>
                <xdr:rowOff>47625</xdr:rowOff>
              </from>
              <to>
                <xdr:col>36</xdr:col>
                <xdr:colOff>142875</xdr:colOff>
                <xdr:row>18</xdr:row>
                <xdr:rowOff>123825</xdr:rowOff>
              </to>
            </anchor>
          </controlPr>
        </control>
      </mc:Choice>
      <mc:Fallback>
        <control shapeId="3083" r:id="rId20" name="ckbCCBottomCapPlate"/>
      </mc:Fallback>
    </mc:AlternateContent>
    <mc:AlternateContent xmlns:mc="http://schemas.openxmlformats.org/markup-compatibility/2006">
      <mc:Choice Requires="x14">
        <control shapeId="3102" r:id="rId22" name="ckbCCBottomBasePlate">
          <controlPr autoLine="0" r:id="rId23">
            <anchor>
              <from>
                <xdr:col>29</xdr:col>
                <xdr:colOff>38100</xdr:colOff>
                <xdr:row>16</xdr:row>
                <xdr:rowOff>9525</xdr:rowOff>
              </from>
              <to>
                <xdr:col>36</xdr:col>
                <xdr:colOff>142875</xdr:colOff>
                <xdr:row>17</xdr:row>
                <xdr:rowOff>85725</xdr:rowOff>
              </to>
            </anchor>
          </controlPr>
        </control>
      </mc:Choice>
      <mc:Fallback>
        <control shapeId="3102" r:id="rId22" name="ckbCCBottomBasePlate"/>
      </mc:Fallback>
    </mc:AlternateContent>
    <mc:AlternateContent xmlns:mc="http://schemas.openxmlformats.org/markup-compatibility/2006">
      <mc:Choice Requires="x14">
        <control shapeId="3103" r:id="rId24" name="ckbTx">
          <controlPr disabled="1" autoLine="0" r:id="rId25">
            <anchor moveWithCells="1">
              <from>
                <xdr:col>29</xdr:col>
                <xdr:colOff>76200</xdr:colOff>
                <xdr:row>26</xdr:row>
                <xdr:rowOff>123825</xdr:rowOff>
              </from>
              <to>
                <xdr:col>31</xdr:col>
                <xdr:colOff>95250</xdr:colOff>
                <xdr:row>28</xdr:row>
                <xdr:rowOff>47625</xdr:rowOff>
              </to>
            </anchor>
          </controlPr>
        </control>
      </mc:Choice>
      <mc:Fallback>
        <control shapeId="3103" r:id="rId24" name="ckbTx"/>
      </mc:Fallback>
    </mc:AlternateContent>
    <mc:AlternateContent xmlns:mc="http://schemas.openxmlformats.org/markup-compatibility/2006">
      <mc:Choice Requires="x14">
        <control shapeId="3104" r:id="rId26" name="ckbTy">
          <controlPr disabled="1" autoLine="0" r:id="rId27">
            <anchor moveWithCells="1">
              <from>
                <xdr:col>32</xdr:col>
                <xdr:colOff>0</xdr:colOff>
                <xdr:row>26</xdr:row>
                <xdr:rowOff>123825</xdr:rowOff>
              </from>
              <to>
                <xdr:col>34</xdr:col>
                <xdr:colOff>19050</xdr:colOff>
                <xdr:row>28</xdr:row>
                <xdr:rowOff>47625</xdr:rowOff>
              </to>
            </anchor>
          </controlPr>
        </control>
      </mc:Choice>
      <mc:Fallback>
        <control shapeId="3104" r:id="rId26" name="ckbTy"/>
      </mc:Fallback>
    </mc:AlternateContent>
    <mc:AlternateContent xmlns:mc="http://schemas.openxmlformats.org/markup-compatibility/2006">
      <mc:Choice Requires="x14">
        <control shapeId="3105" r:id="rId28" name="ckbTz">
          <controlPr disabled="1" autoLine="0" r:id="rId29">
            <anchor moveWithCells="1">
              <from>
                <xdr:col>34</xdr:col>
                <xdr:colOff>114300</xdr:colOff>
                <xdr:row>26</xdr:row>
                <xdr:rowOff>123825</xdr:rowOff>
              </from>
              <to>
                <xdr:col>36</xdr:col>
                <xdr:colOff>133350</xdr:colOff>
                <xdr:row>28</xdr:row>
                <xdr:rowOff>47625</xdr:rowOff>
              </to>
            </anchor>
          </controlPr>
        </control>
      </mc:Choice>
      <mc:Fallback>
        <control shapeId="3105" r:id="rId28" name="ckbTz"/>
      </mc:Fallback>
    </mc:AlternateContent>
    <mc:AlternateContent xmlns:mc="http://schemas.openxmlformats.org/markup-compatibility/2006">
      <mc:Choice Requires="x14">
        <control shapeId="3106" r:id="rId30" name="ckbRx">
          <controlPr disabled="1" autoLine="0" r:id="rId31">
            <anchor moveWithCells="1">
              <from>
                <xdr:col>29</xdr:col>
                <xdr:colOff>76200</xdr:colOff>
                <xdr:row>28</xdr:row>
                <xdr:rowOff>47625</xdr:rowOff>
              </from>
              <to>
                <xdr:col>31</xdr:col>
                <xdr:colOff>95250</xdr:colOff>
                <xdr:row>29</xdr:row>
                <xdr:rowOff>123825</xdr:rowOff>
              </to>
            </anchor>
          </controlPr>
        </control>
      </mc:Choice>
      <mc:Fallback>
        <control shapeId="3106" r:id="rId30" name="ckbRx"/>
      </mc:Fallback>
    </mc:AlternateContent>
    <mc:AlternateContent xmlns:mc="http://schemas.openxmlformats.org/markup-compatibility/2006">
      <mc:Choice Requires="x14">
        <control shapeId="3107" r:id="rId32" name="ckbRy">
          <controlPr disabled="1" autoLine="0" r:id="rId33">
            <anchor moveWithCells="1">
              <from>
                <xdr:col>32</xdr:col>
                <xdr:colOff>9525</xdr:colOff>
                <xdr:row>28</xdr:row>
                <xdr:rowOff>47625</xdr:rowOff>
              </from>
              <to>
                <xdr:col>34</xdr:col>
                <xdr:colOff>28575</xdr:colOff>
                <xdr:row>29</xdr:row>
                <xdr:rowOff>123825</xdr:rowOff>
              </to>
            </anchor>
          </controlPr>
        </control>
      </mc:Choice>
      <mc:Fallback>
        <control shapeId="3107" r:id="rId32" name="ckbRy"/>
      </mc:Fallback>
    </mc:AlternateContent>
    <mc:AlternateContent xmlns:mc="http://schemas.openxmlformats.org/markup-compatibility/2006">
      <mc:Choice Requires="x14">
        <control shapeId="3108" r:id="rId34" name="ckbRz">
          <controlPr disabled="1" autoLine="0" r:id="rId35">
            <anchor moveWithCells="1">
              <from>
                <xdr:col>34</xdr:col>
                <xdr:colOff>114300</xdr:colOff>
                <xdr:row>28</xdr:row>
                <xdr:rowOff>47625</xdr:rowOff>
              </from>
              <to>
                <xdr:col>36</xdr:col>
                <xdr:colOff>133350</xdr:colOff>
                <xdr:row>29</xdr:row>
                <xdr:rowOff>123825</xdr:rowOff>
              </to>
            </anchor>
          </controlPr>
        </control>
      </mc:Choice>
      <mc:Fallback>
        <control shapeId="3108" r:id="rId34" name="ckbRz"/>
      </mc:Fallback>
    </mc:AlternateContent>
    <mc:AlternateContent xmlns:mc="http://schemas.openxmlformats.org/markup-compatibility/2006">
      <mc:Choice Requires="x14">
        <control shapeId="3113" r:id="rId36" name="radFixed">
          <controlPr autoLine="0" r:id="rId37">
            <anchor moveWithCells="1">
              <from>
                <xdr:col>29</xdr:col>
                <xdr:colOff>19050</xdr:colOff>
                <xdr:row>24</xdr:row>
                <xdr:rowOff>114300</xdr:rowOff>
              </from>
              <to>
                <xdr:col>31</xdr:col>
                <xdr:colOff>161925</xdr:colOff>
                <xdr:row>26</xdr:row>
                <xdr:rowOff>38100</xdr:rowOff>
              </to>
            </anchor>
          </controlPr>
        </control>
      </mc:Choice>
      <mc:Fallback>
        <control shapeId="3113" r:id="rId36" name="radFixed"/>
      </mc:Fallback>
    </mc:AlternateContent>
    <mc:AlternateContent xmlns:mc="http://schemas.openxmlformats.org/markup-compatibility/2006">
      <mc:Choice Requires="x14">
        <control shapeId="3115" r:id="rId38" name="radPinned">
          <controlPr autoLine="0" r:id="rId39">
            <anchor moveWithCells="1">
              <from>
                <xdr:col>31</xdr:col>
                <xdr:colOff>161925</xdr:colOff>
                <xdr:row>24</xdr:row>
                <xdr:rowOff>114300</xdr:rowOff>
              </from>
              <to>
                <xdr:col>35</xdr:col>
                <xdr:colOff>9525</xdr:colOff>
                <xdr:row>26</xdr:row>
                <xdr:rowOff>38100</xdr:rowOff>
              </to>
            </anchor>
          </controlPr>
        </control>
      </mc:Choice>
      <mc:Fallback>
        <control shapeId="3115" r:id="rId38" name="radPinned"/>
      </mc:Fallback>
    </mc:AlternateContent>
    <mc:AlternateContent xmlns:mc="http://schemas.openxmlformats.org/markup-compatibility/2006">
      <mc:Choice Requires="x14">
        <control shapeId="3116" r:id="rId40" name="radCustom">
          <controlPr autoLine="0" r:id="rId41">
            <anchor moveWithCells="1">
              <from>
                <xdr:col>35</xdr:col>
                <xdr:colOff>0</xdr:colOff>
                <xdr:row>24</xdr:row>
                <xdr:rowOff>114300</xdr:rowOff>
              </from>
              <to>
                <xdr:col>38</xdr:col>
                <xdr:colOff>28575</xdr:colOff>
                <xdr:row>26</xdr:row>
                <xdr:rowOff>38100</xdr:rowOff>
              </to>
            </anchor>
          </controlPr>
        </control>
      </mc:Choice>
      <mc:Fallback>
        <control shapeId="3116" r:id="rId40" name="radCustom"/>
      </mc:Fallback>
    </mc:AlternateContent>
    <mc:AlternateContent xmlns:mc="http://schemas.openxmlformats.org/markup-compatibility/2006">
      <mc:Choice Requires="x14">
        <control shapeId="3118" r:id="rId42" name="ckbTxCC">
          <controlPr disabled="1" autoLine="0" r:id="rId43">
            <anchor moveWithCells="1">
              <from>
                <xdr:col>29</xdr:col>
                <xdr:colOff>76200</xdr:colOff>
                <xdr:row>33</xdr:row>
                <xdr:rowOff>85725</xdr:rowOff>
              </from>
              <to>
                <xdr:col>31</xdr:col>
                <xdr:colOff>95250</xdr:colOff>
                <xdr:row>35</xdr:row>
                <xdr:rowOff>9525</xdr:rowOff>
              </to>
            </anchor>
          </controlPr>
        </control>
      </mc:Choice>
      <mc:Fallback>
        <control shapeId="3118" r:id="rId42" name="ckbTxCC"/>
      </mc:Fallback>
    </mc:AlternateContent>
    <mc:AlternateContent xmlns:mc="http://schemas.openxmlformats.org/markup-compatibility/2006">
      <mc:Choice Requires="x14">
        <control shapeId="3119" r:id="rId44" name="ckbTyCC">
          <controlPr disabled="1" autoLine="0" r:id="rId45">
            <anchor moveWithCells="1">
              <from>
                <xdr:col>32</xdr:col>
                <xdr:colOff>0</xdr:colOff>
                <xdr:row>33</xdr:row>
                <xdr:rowOff>85725</xdr:rowOff>
              </from>
              <to>
                <xdr:col>34</xdr:col>
                <xdr:colOff>19050</xdr:colOff>
                <xdr:row>35</xdr:row>
                <xdr:rowOff>9525</xdr:rowOff>
              </to>
            </anchor>
          </controlPr>
        </control>
      </mc:Choice>
      <mc:Fallback>
        <control shapeId="3119" r:id="rId44" name="ckbTyCC"/>
      </mc:Fallback>
    </mc:AlternateContent>
    <mc:AlternateContent xmlns:mc="http://schemas.openxmlformats.org/markup-compatibility/2006">
      <mc:Choice Requires="x14">
        <control shapeId="3120" r:id="rId46" name="ckbTzCC">
          <controlPr disabled="1" autoLine="0" r:id="rId47">
            <anchor moveWithCells="1">
              <from>
                <xdr:col>34</xdr:col>
                <xdr:colOff>114300</xdr:colOff>
                <xdr:row>33</xdr:row>
                <xdr:rowOff>85725</xdr:rowOff>
              </from>
              <to>
                <xdr:col>36</xdr:col>
                <xdr:colOff>133350</xdr:colOff>
                <xdr:row>35</xdr:row>
                <xdr:rowOff>9525</xdr:rowOff>
              </to>
            </anchor>
          </controlPr>
        </control>
      </mc:Choice>
      <mc:Fallback>
        <control shapeId="3120" r:id="rId46" name="ckbTzCC"/>
      </mc:Fallback>
    </mc:AlternateContent>
    <mc:AlternateContent xmlns:mc="http://schemas.openxmlformats.org/markup-compatibility/2006">
      <mc:Choice Requires="x14">
        <control shapeId="3121" r:id="rId48" name="ckbRxCC">
          <controlPr disabled="1" autoLine="0" r:id="rId49">
            <anchor moveWithCells="1">
              <from>
                <xdr:col>29</xdr:col>
                <xdr:colOff>76200</xdr:colOff>
                <xdr:row>35</xdr:row>
                <xdr:rowOff>9525</xdr:rowOff>
              </from>
              <to>
                <xdr:col>31</xdr:col>
                <xdr:colOff>95250</xdr:colOff>
                <xdr:row>36</xdr:row>
                <xdr:rowOff>85725</xdr:rowOff>
              </to>
            </anchor>
          </controlPr>
        </control>
      </mc:Choice>
      <mc:Fallback>
        <control shapeId="3121" r:id="rId48" name="ckbRxCC"/>
      </mc:Fallback>
    </mc:AlternateContent>
    <mc:AlternateContent xmlns:mc="http://schemas.openxmlformats.org/markup-compatibility/2006">
      <mc:Choice Requires="x14">
        <control shapeId="3122" r:id="rId50" name="ckbRyCC">
          <controlPr disabled="1" autoLine="0" r:id="rId51">
            <anchor moveWithCells="1">
              <from>
                <xdr:col>32</xdr:col>
                <xdr:colOff>9525</xdr:colOff>
                <xdr:row>35</xdr:row>
                <xdr:rowOff>9525</xdr:rowOff>
              </from>
              <to>
                <xdr:col>34</xdr:col>
                <xdr:colOff>28575</xdr:colOff>
                <xdr:row>36</xdr:row>
                <xdr:rowOff>85725</xdr:rowOff>
              </to>
            </anchor>
          </controlPr>
        </control>
      </mc:Choice>
      <mc:Fallback>
        <control shapeId="3122" r:id="rId50" name="ckbRyCC"/>
      </mc:Fallback>
    </mc:AlternateContent>
    <mc:AlternateContent xmlns:mc="http://schemas.openxmlformats.org/markup-compatibility/2006">
      <mc:Choice Requires="x14">
        <control shapeId="3123" r:id="rId52" name="ckbRzCC">
          <controlPr disabled="1" autoLine="0" r:id="rId53">
            <anchor moveWithCells="1">
              <from>
                <xdr:col>34</xdr:col>
                <xdr:colOff>114300</xdr:colOff>
                <xdr:row>35</xdr:row>
                <xdr:rowOff>9525</xdr:rowOff>
              </from>
              <to>
                <xdr:col>36</xdr:col>
                <xdr:colOff>133350</xdr:colOff>
                <xdr:row>36</xdr:row>
                <xdr:rowOff>85725</xdr:rowOff>
              </to>
            </anchor>
          </controlPr>
        </control>
      </mc:Choice>
      <mc:Fallback>
        <control shapeId="3123" r:id="rId52" name="ckbRzCC"/>
      </mc:Fallback>
    </mc:AlternateContent>
    <mc:AlternateContent xmlns:mc="http://schemas.openxmlformats.org/markup-compatibility/2006">
      <mc:Choice Requires="x14">
        <control shapeId="3126" r:id="rId54" name="radPinnedCC">
          <controlPr autoLine="0" r:id="rId55">
            <anchor moveWithCells="1">
              <from>
                <xdr:col>29</xdr:col>
                <xdr:colOff>66675</xdr:colOff>
                <xdr:row>31</xdr:row>
                <xdr:rowOff>76200</xdr:rowOff>
              </from>
              <to>
                <xdr:col>32</xdr:col>
                <xdr:colOff>95250</xdr:colOff>
                <xdr:row>33</xdr:row>
                <xdr:rowOff>0</xdr:rowOff>
              </to>
            </anchor>
          </controlPr>
        </control>
      </mc:Choice>
      <mc:Fallback>
        <control shapeId="3126" r:id="rId54" name="radPinnedCC"/>
      </mc:Fallback>
    </mc:AlternateContent>
    <mc:AlternateContent xmlns:mc="http://schemas.openxmlformats.org/markup-compatibility/2006">
      <mc:Choice Requires="x14">
        <control shapeId="3127" r:id="rId56" name="radCustomCC">
          <controlPr autoLine="0" r:id="rId57">
            <anchor moveWithCells="1">
              <from>
                <xdr:col>32</xdr:col>
                <xdr:colOff>85725</xdr:colOff>
                <xdr:row>31</xdr:row>
                <xdr:rowOff>76200</xdr:rowOff>
              </from>
              <to>
                <xdr:col>35</xdr:col>
                <xdr:colOff>114300</xdr:colOff>
                <xdr:row>33</xdr:row>
                <xdr:rowOff>0</xdr:rowOff>
              </to>
            </anchor>
          </controlPr>
        </control>
      </mc:Choice>
      <mc:Fallback>
        <control shapeId="3127" r:id="rId56" name="radCustomCC"/>
      </mc:Fallback>
    </mc:AlternateContent>
    <mc:AlternateContent xmlns:mc="http://schemas.openxmlformats.org/markup-compatibility/2006">
      <mc:Choice Requires="x14">
        <control shapeId="3109" r:id="rId58" name="Group Box 37">
          <controlPr defaultSize="0" autoFill="0" autoPict="0">
            <anchor moveWithCells="1">
              <from>
                <xdr:col>28</xdr:col>
                <xdr:colOff>161925</xdr:colOff>
                <xdr:row>23</xdr:row>
                <xdr:rowOff>133350</xdr:rowOff>
              </from>
              <to>
                <xdr:col>38</xdr:col>
                <xdr:colOff>28575</xdr:colOff>
                <xdr:row>30</xdr:row>
                <xdr:rowOff>19050</xdr:rowOff>
              </to>
            </anchor>
          </controlPr>
        </control>
      </mc:Choice>
    </mc:AlternateContent>
    <mc:AlternateContent xmlns:mc="http://schemas.openxmlformats.org/markup-compatibility/2006">
      <mc:Choice Requires="x14">
        <control shapeId="3124" r:id="rId59" name="Group Box 52">
          <controlPr defaultSize="0" autoFill="0" autoPict="0">
            <anchor moveWithCells="1">
              <from>
                <xdr:col>28</xdr:col>
                <xdr:colOff>161925</xdr:colOff>
                <xdr:row>30</xdr:row>
                <xdr:rowOff>95250</xdr:rowOff>
              </from>
              <to>
                <xdr:col>38</xdr:col>
                <xdr:colOff>28575</xdr:colOff>
                <xdr:row>36</xdr:row>
                <xdr:rowOff>133350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83</vt:i4>
      </vt:variant>
    </vt:vector>
  </HeadingPairs>
  <TitlesOfParts>
    <vt:vector size="85" baseType="lpstr">
      <vt:lpstr>Version History</vt:lpstr>
      <vt:lpstr>Geometry Input</vt:lpstr>
      <vt:lpstr>Alpha</vt:lpstr>
      <vt:lpstr>AspectRatio</vt:lpstr>
      <vt:lpstr>bBridge</vt:lpstr>
      <vt:lpstr>bCR</vt:lpstr>
      <vt:lpstr>Beta</vt:lpstr>
      <vt:lpstr>bExtension</vt:lpstr>
      <vt:lpstr>bExtFraCols</vt:lpstr>
      <vt:lpstr>bLaun</vt:lpstr>
      <vt:lpstr>bridgeAngle</vt:lpstr>
      <vt:lpstr>BridgeType</vt:lpstr>
      <vt:lpstr>ColumnData</vt:lpstr>
      <vt:lpstr>ColumnMethod</vt:lpstr>
      <vt:lpstr>ColumnsSection</vt:lpstr>
      <vt:lpstr>CrossBraceSection</vt:lpstr>
      <vt:lpstr>dCC</vt:lpstr>
      <vt:lpstr>dCR</vt:lpstr>
      <vt:lpstr>DocApprover</vt:lpstr>
      <vt:lpstr>DocChecker</vt:lpstr>
      <vt:lpstr>DocClient</vt:lpstr>
      <vt:lpstr>DocCurrentDate</vt:lpstr>
      <vt:lpstr>DocCurrentIssue</vt:lpstr>
      <vt:lpstr>DocInitialDate</vt:lpstr>
      <vt:lpstr>DocInitialIssue</vt:lpstr>
      <vt:lpstr>DocNumber</vt:lpstr>
      <vt:lpstr>DocOriginator</vt:lpstr>
      <vt:lpstr>DocProject</vt:lpstr>
      <vt:lpstr>DocTitle</vt:lpstr>
      <vt:lpstr>DocVersion</vt:lpstr>
      <vt:lpstr>DroopDepth</vt:lpstr>
      <vt:lpstr>DroopRadius</vt:lpstr>
      <vt:lpstr>dTank</vt:lpstr>
      <vt:lpstr>dUF</vt:lpstr>
      <vt:lpstr>FreeBoard</vt:lpstr>
      <vt:lpstr>HalfChordLength</vt:lpstr>
      <vt:lpstr>hBridge</vt:lpstr>
      <vt:lpstr>hCC</vt:lpstr>
      <vt:lpstr>hCCTop</vt:lpstr>
      <vt:lpstr>hCR</vt:lpstr>
      <vt:lpstr>hDroop</vt:lpstr>
      <vt:lpstr>hExtension</vt:lpstr>
      <vt:lpstr>hLaun</vt:lpstr>
      <vt:lpstr>hStubAbove</vt:lpstr>
      <vt:lpstr>hStubBelow</vt:lpstr>
      <vt:lpstr>hUF</vt:lpstr>
      <vt:lpstr>hWall</vt:lpstr>
      <vt:lpstr>idBP</vt:lpstr>
      <vt:lpstr>idCP</vt:lpstr>
      <vt:lpstr>lenExtensionFar</vt:lpstr>
      <vt:lpstr>lenExtensionNear</vt:lpstr>
      <vt:lpstr>MaxPlateDim</vt:lpstr>
      <vt:lpstr>nBoltsCC</vt:lpstr>
      <vt:lpstr>nColRB</vt:lpstr>
      <vt:lpstr>nRB</vt:lpstr>
      <vt:lpstr>odBP</vt:lpstr>
      <vt:lpstr>odCP</vt:lpstr>
      <vt:lpstr>Omega</vt:lpstr>
      <vt:lpstr>pcdBolts</vt:lpstr>
      <vt:lpstr>PlateThick</vt:lpstr>
      <vt:lpstr>'Droop Calcs'!Print_Area</vt:lpstr>
      <vt:lpstr>'Geometry Input'!Print_Area</vt:lpstr>
      <vt:lpstr>'Version History'!Print_Area</vt:lpstr>
      <vt:lpstr>'Droop Calcs'!Print_Titles</vt:lpstr>
      <vt:lpstr>'Geometry Input'!Print_Titles</vt:lpstr>
      <vt:lpstr>RadBeamSection</vt:lpstr>
      <vt:lpstr>RadBraceSection</vt:lpstr>
      <vt:lpstr>rDroop</vt:lpstr>
      <vt:lpstr>sDelta</vt:lpstr>
      <vt:lpstr>TemplateDocApprover</vt:lpstr>
      <vt:lpstr>TemplateDocChecker</vt:lpstr>
      <vt:lpstr>TemplateDocClient</vt:lpstr>
      <vt:lpstr>TemplateDocCurrentDate</vt:lpstr>
      <vt:lpstr>TemplateDocCurrentRevision</vt:lpstr>
      <vt:lpstr>TemplateDocInitialDate</vt:lpstr>
      <vt:lpstr>TemplateDocInitialRevision</vt:lpstr>
      <vt:lpstr>TemplateDocNumber</vt:lpstr>
      <vt:lpstr>TemplateDocOriginator</vt:lpstr>
      <vt:lpstr>TemplateDocProject</vt:lpstr>
      <vt:lpstr>TemplateDocTitle</vt:lpstr>
      <vt:lpstr>'Version History'!TemplateDocVersion</vt:lpstr>
      <vt:lpstr>Theta</vt:lpstr>
      <vt:lpstr>xOrigin</vt:lpstr>
      <vt:lpstr>yOrigin</vt:lpstr>
      <vt:lpstr>zOrigin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Engineered Programming</dc:creator>
  <cp:lastModifiedBy>MASANAM Srinivasarao Tenova Delkor</cp:lastModifiedBy>
  <cp:lastPrinted>2019-04-24T05:38:11Z</cp:lastPrinted>
  <dcterms:created xsi:type="dcterms:W3CDTF">2017-09-29T11:15:12Z</dcterms:created>
  <dcterms:modified xsi:type="dcterms:W3CDTF">2019-07-26T12:09:08Z</dcterms:modified>
</cp:coreProperties>
</file>